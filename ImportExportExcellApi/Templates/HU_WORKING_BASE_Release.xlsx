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  <sheet name="Data_Lookup" sheetId="2" r:id="rId5" state="veryHidden"/>
  </sheets>
  <definedNames>
    <definedName name="BacLuongData">Data_Lookup!$R$2:$S$1000</definedName>
    <definedName name="DanhSachChucDanh">Data_Lookup!$H$2:$H$1000</definedName>
    <definedName name="DanhSachChucDanhRange">Data_Lookup!$H$2:$I$1000</definedName>
    <definedName name="DanhSachCode">Data_Lookup!$A$2:$A$2000</definedName>
    <definedName name="DanhSachCodeId">Data_Lookup!$A$2:$C$2000</definedName>
    <definedName name="DanhSachLoaiQuyetDinh">Data_Lookup!$D$2:$D$1000</definedName>
    <definedName name="DanhSachLoaiQuyetDinhRange">Data_Lookup!$D$2:$E$1000</definedName>
    <definedName name="DanhSachNhanVien">Data_Lookup!$A$2:$B$2000</definedName>
    <definedName name="DanhSachPhongBan">Data_Lookup!$F$2:$F$1000</definedName>
    <definedName name="DanhSachPhongBanRange">Data_Lookup!$F$2:$G$1000</definedName>
    <definedName name="NgachLuongData">Data_Lookup!$M$2:$P$1000</definedName>
    <definedName name="ThangLuongData">Data_Lookup!$J$2:$L$1000</definedName>
    <definedName name="ThangLuongList">Data_Lookup!$J$2:$J$1000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<sst xmlns="http://schemas.openxmlformats.org/spreadsheetml/2006/main" count="43" uniqueCount="43">
  <si>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Import trình công tác</t>
  </si>
  <si>
    <t>PROFILE_ID</t>
  </si>
  <si>
    <t>EMPLOYEE_ID</t>
  </si>
  <si>
    <t>FULL_NAME</t>
  </si>
  <si>
    <t>TYPE_ID</t>
  </si>
  <si>
    <t>DECISION_NO</t>
  </si>
  <si>
    <t>EFFECT_DATE</t>
  </si>
  <si>
    <t>EXPIRE_DATE</t>
  </si>
  <si>
    <t>ORG_ID</t>
  </si>
  <si>
    <t>POSITION_ID</t>
  </si>
  <si>
    <t>SAL_BASIC</t>
  </si>
  <si>
    <t>SALARY_SCALE_ID</t>
  </si>
  <si>
    <t>SALARY_GRADE</t>
  </si>
  <si>
    <t>SALARY_LEVEL_ID</t>
  </si>
  <si>
    <t>SIGN_DATE</t>
  </si>
  <si>
    <t>SIGN_PROFILE_ID</t>
  </si>
  <si>
    <t>SIGN_ID</t>
  </si>
  <si>
    <t>NOTE</t>
  </si>
  <si>
    <t>ID nhân sự</t>
  </si>
  <si>
    <t>Mã nhân sự</t>
  </si>
  <si>
    <t>Họ và tên</t>
  </si>
  <si>
    <t>Loại quyết định</t>
  </si>
  <si>
    <t>Số quyết định</t>
  </si>
  <si>
    <t>Ngày hiệu lực</t>
  </si>
  <si>
    <t>Ngày hết hiệu lực</t>
  </si>
  <si>
    <t>Căn cứ QĐ số</t>
  </si>
  <si>
    <t>Phòng/ban</t>
  </si>
  <si>
    <t>Vị trí chức danh</t>
  </si>
  <si>
    <t>Lương chức danh (bắt buộc)</t>
  </si>
  <si>
    <t>Thang lương</t>
  </si>
  <si>
    <t>Ngạch lương</t>
  </si>
  <si>
    <t>Bậc lương</t>
  </si>
  <si>
    <t>Ngày ký</t>
  </si>
  <si>
    <t>Mã người ký</t>
  </si>
  <si>
    <t>Tên người ký</t>
  </si>
  <si>
    <t>Ghi chú</t>
  </si>
  <si>
    <t>Chọn từ danh sách</t>
  </si>
  <si>
    <t>Chọn từ danh sách (bắt buộc)</t>
  </si>
  <si>
    <t>Kiểu chuỗi ký tự</t>
  </si>
  <si>
    <t>Kiểu chuỗi ký tự (bắt buộc)</t>
  </si>
  <si>
    <t>Kiểu ngày tháng dd/MM/yyyy (bắt buộc nhập)</t>
  </si>
  <si>
    <t>Kiểu ngày tháng dd/MM/yyyy</t>
  </si>
  <si>
    <t>Decimal?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</si>
</sst>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22"/>
      <color theme="1"/>
      <name val="Times New Roman"/>
      <charset val="134"/>
    </font>
    <font>
      <sz val="10"/>
      <color rgb="FF1F1F1F"/>
      <name val="Times New Roman"/>
      <charset val="134"/>
    </font>
    <font>
      <sz val="12"/>
      <color rgb="FF1F1F1F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176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177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0" applyFont="0" fillId="2" applyFill="1" borderId="3" applyBorder="1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10" applyFont="1" fillId="0" applyFill="0" borderId="4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2" applyFont="1" fillId="0" applyFill="0" borderId="5" applyBorder="1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3" applyFill="1" borderId="6" applyBorder="1" applyProtection="0" applyAlignment="0">
      <alignment vertical="center"/>
    </xf>
    <xf numFmtId="0" applyNumberFormat="0" fontId="14" applyFont="1" fillId="4" applyFill="1" borderId="7" applyBorder="1" applyProtection="0" applyAlignment="0">
      <alignment vertical="center"/>
    </xf>
    <xf numFmtId="0" applyNumberFormat="0" fontId="15" applyFont="1" fillId="4" applyFill="1" borderId="6" applyBorder="1" applyProtection="0" applyAlignment="0">
      <alignment vertical="center"/>
    </xf>
    <xf numFmtId="0" applyNumberFormat="0" fontId="16" applyFont="1" fillId="5" applyFill="1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0" applyFill="0" borderId="10" applyBorder="1" applyProtection="0" applyAlignment="0">
      <alignment vertical="center"/>
    </xf>
    <xf numFmtId="0" applyNumberFormat="0" fontId="19" applyFont="1" fillId="6" applyFill="1" borderId="0" applyBorder="0" applyProtection="0" applyAlignment="0">
      <alignment vertical="center"/>
    </xf>
    <xf numFmtId="0" applyNumberFormat="0" fontId="20" applyFont="1" fillId="7" applyFill="1" borderId="0" applyBorder="0" applyProtection="0" applyAlignment="0">
      <alignment vertical="center"/>
    </xf>
    <xf numFmtId="0" applyNumberFormat="0" fontId="21" applyFont="1" fillId="8" applyFill="1" borderId="0" applyBorder="0" applyProtection="0" applyAlignment="0">
      <alignment vertical="center"/>
    </xf>
    <xf numFmtId="0" applyNumberFormat="0" fontId="22" applyFont="1" fillId="9" applyFill="1" borderId="0" applyBorder="0" applyProtection="0" applyAlignment="0">
      <alignment vertical="center"/>
    </xf>
    <xf numFmtId="0" applyNumberFormat="0" fontId="23" applyFont="1" fillId="10" applyFill="1" borderId="0" applyBorder="0" applyProtection="0" applyAlignment="0">
      <alignment vertical="center"/>
    </xf>
    <xf numFmtId="0" applyNumberFormat="0" fontId="23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2" applyFont="1" fillId="13" applyFill="1" borderId="0" applyBorder="0" applyProtection="0" applyAlignment="0">
      <alignment vertical="center"/>
    </xf>
    <xf numFmtId="0" applyNumberFormat="0" fontId="23" applyFont="1" fillId="14" applyFill="1" borderId="0" applyBorder="0" applyProtection="0" applyAlignment="0">
      <alignment vertical="center"/>
    </xf>
    <xf numFmtId="0" applyNumberFormat="0" fontId="23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23" applyFont="1" fillId="18" applyFill="1" borderId="0" applyBorder="0" applyProtection="0" applyAlignment="0">
      <alignment vertical="center"/>
    </xf>
    <xf numFmtId="0" applyNumberFormat="0" fontId="23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2" applyFont="1" fillId="21" applyFill="1" borderId="0" applyBorder="0" applyProtection="0" applyAlignment="0">
      <alignment vertical="center"/>
    </xf>
    <xf numFmtId="0" applyNumberFormat="0" fontId="23" applyFont="1" fillId="22" applyFill="1" borderId="0" applyBorder="0" applyProtection="0" applyAlignment="0">
      <alignment vertical="center"/>
    </xf>
    <xf numFmtId="0" applyNumberFormat="0" fontId="23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2" applyFont="1" fillId="25" applyFill="1" borderId="0" applyBorder="0" applyProtection="0" applyAlignment="0">
      <alignment vertical="center"/>
    </xf>
    <xf numFmtId="0" applyNumberFormat="0" fontId="23" applyFont="1" fillId="26" applyFill="1" borderId="0" applyBorder="0" applyProtection="0" applyAlignment="0">
      <alignment vertical="center"/>
    </xf>
    <xf numFmtId="0" applyNumberFormat="0" fontId="23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2" applyFont="1" fillId="29" applyFill="1" borderId="0" applyBorder="0" applyProtection="0" applyAlignment="0">
      <alignment vertical="center"/>
    </xf>
    <xf numFmtId="0" applyNumberFormat="0" fontId="23" applyFont="1" fillId="30" applyFill="1" borderId="0" applyBorder="0" applyProtection="0" applyAlignment="0">
      <alignment vertical="center"/>
    </xf>
    <xf numFmtId="0" applyNumberFormat="0" fontId="23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</cellStyleXfs>
  <cellXfs count="9">
    <xf numFmtId="0" fontId="0" fillId="0" borderId="0" xfId="0" applyAlignment="1">
      <alignment vertical="center"/>
    </xf>
    <xf numFmtId="0" fontId="0" fillId="0" borderId="1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2" applyFont="1" fillId="0" borderId="2" applyBorder="1" xfId="0" applyAlignment="1">
      <alignment vertical="center" wrapText="1" readingOrder="1"/>
    </xf>
    <xf numFmtId="0" fontId="2" applyFont="1" fillId="0" borderId="2" applyBorder="1" xfId="0" applyAlignment="1">
      <alignment horizontal="center" vertical="center" wrapText="1" readingOrder="1"/>
    </xf>
    <xf numFmtId="0" fontId="3" applyFont="1" fillId="0" borderId="1" applyBorder="1" xfId="0" applyAlignment="1">
      <alignment vertical="center" wrapText="1" readingOrder="1"/>
    </xf>
    <xf numFmtId="0" fontId="3" applyFont="1" fillId="0" borderId="1" applyBorder="1" xfId="0" applyAlignment="1">
      <alignment horizontal="center" vertical="center" wrapText="1" readingOrder="1"/>
    </xf>
    <xf numFmtId="0" fontId="4" applyFont="1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2"/>
      <tableStyleElement type="lastColumn" dxfId="2"/>
      <tableStyleElement type="firstRowStripe" dxfId="0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0"/>
      <tableStyleElement type="firstColumnStripe" dxfId="0"/>
      <tableStyleElement type="firstSubtotalRow" dxfId="12"/>
      <tableStyleElement type="secondSubtotalRow" dxfId="2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 xr">
  <sheetPr/>
  <dimension ref="A1:AF1000"/>
  <sheetViews>
    <sheetView tabSelected="1" zoomScale="70" zoomScaleNormal="70" topLeftCell="G1" workbookViewId="0">
      <selection activeCell="K12" sqref="K12"/>
    </sheetView>
  </sheetViews>
  <sheetFormatPr defaultColWidth="9.14285714285714" defaultRowHeight="15"/>
  <cols>
    <col min="1" max="1" hidden="1" width="17.1428571428571" customWidth="1"/>
    <col min="2" max="11" width="22.7142857142857" customWidth="1"/>
    <col min="12" max="12" width="23.5333333333333" customWidth="1"/>
    <col min="13" max="13" width="25.7142857142857" customWidth="1"/>
    <col min="14" max="18" width="22.7142857142857" customWidth="1"/>
    <col min="26" max="26" hidden="1" width="9.14285714285714" customWidth="1"/>
    <col min="27" max="27" hidden="1" width="9.14285714285714" customWidth="1"/>
    <col min="28" max="28" hidden="1" width="9.14285714285714" customWidth="1"/>
    <col min="29" max="29" hidden="1" width="9.14285714285714" customWidth="1"/>
    <col min="30" max="30" hidden="1" width="9.14285714285714" customWidth="1"/>
    <col min="31" max="31" hidden="1" width="9.14285714285714" customWidth="1"/>
    <col min="32" max="32" hidden="1" width="9.14285714285714" customWidth="1"/>
  </cols>
  <sheetData>
    <row r="1" ht="22" customHeight="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hidden="1" ht="30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/>
      <c r="I3" s="4" t="s">
        <v>8</v>
      </c>
      <c r="J3" s="3" t="s">
        <v>9</v>
      </c>
      <c r="K3" s="4" t="s">
        <v>10</v>
      </c>
      <c r="L3" s="3" t="s">
        <v>11</v>
      </c>
      <c r="M3" s="4" t="s">
        <v>12</v>
      </c>
      <c r="N3" s="4" t="s">
        <v>13</v>
      </c>
      <c r="O3" s="4" t="s">
        <v>14</v>
      </c>
      <c r="P3" s="4" t="s">
        <v>15</v>
      </c>
      <c r="Q3" s="4" t="s">
        <v>16</v>
      </c>
      <c r="R3" s="3" t="s">
        <v>17</v>
      </c>
    </row>
    <row r="4" ht="36" customHeight="1" s="1" customFormat="1">
      <c r="A4" s="5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6" t="s">
        <v>30</v>
      </c>
      <c r="N4" s="6" t="s">
        <v>31</v>
      </c>
      <c r="O4" s="6" t="s">
        <v>32</v>
      </c>
      <c r="P4" s="6" t="s">
        <v>33</v>
      </c>
      <c r="Q4" s="6" t="s">
        <v>34</v>
      </c>
      <c r="R4" s="6" t="s">
        <v>35</v>
      </c>
    </row>
    <row r="5" ht="49" customHeight="1" s="1" customFormat="1">
      <c r="A5" s="5" t="s">
        <v>36</v>
      </c>
      <c r="B5" s="6" t="s">
        <v>37</v>
      </c>
      <c r="C5" s="6" t="s">
        <v>38</v>
      </c>
      <c r="D5" s="6" t="s">
        <v>37</v>
      </c>
      <c r="E5" s="6" t="s">
        <v>39</v>
      </c>
      <c r="F5" s="6" t="s">
        <v>40</v>
      </c>
      <c r="G5" s="6" t="s">
        <v>41</v>
      </c>
      <c r="H5" s="6" t="s">
        <v>38</v>
      </c>
      <c r="I5" s="6" t="s">
        <v>37</v>
      </c>
      <c r="J5" s="6" t="s">
        <v>37</v>
      </c>
      <c r="K5" s="6" t="s">
        <v>42</v>
      </c>
      <c r="L5" s="6" t="s">
        <v>36</v>
      </c>
      <c r="M5" s="6" t="s">
        <v>36</v>
      </c>
      <c r="N5" s="6" t="s">
        <v>36</v>
      </c>
      <c r="O5" s="6" t="s">
        <v>41</v>
      </c>
      <c r="P5" s="6" t="s">
        <v>36</v>
      </c>
      <c r="Q5" s="6" t="s">
        <v>36</v>
      </c>
      <c r="R5" s="6" t="s">
        <v>38</v>
      </c>
    </row>
    <row r="6" ht="15.75">
      <c r="A6" s="7">
        <f>IF(B6="", "", VLOOKUP(B6, DanhSachCodeId, 3, FALSE))</f>
      </c>
      <c r="B6" s="7"/>
      <c r="C6" s="7">
        <f>IF(B6="", "", VLOOKUP(B6, DanhSachNhanVien, 2, FALSE))</f>
      </c>
      <c r="D6" s="7"/>
      <c r="E6" s="7"/>
      <c r="F6" s="7"/>
      <c r="H6" s="7"/>
      <c r="I6" s="7"/>
      <c r="J6" s="7"/>
      <c r="K6" s="7"/>
      <c r="L6" s="7"/>
      <c r="M6" s="7"/>
      <c r="N6" s="7"/>
      <c r="O6" s="7"/>
      <c r="P6" s="7"/>
      <c r="Q6" s="7">
        <f>IF(P6="", "", VLOOKUP(P6, DanhSachNhanVien, 2, FALSE))</f>
      </c>
      <c r="R6" s="7"/>
      <c r="Z6" s="0">
        <f>IF(D6="", "", VLOOKUP(D6, DanhSachLoaiQuyetDinhRange, 2, FALSE))</f>
      </c>
      <c r="AA6" s="0">
        <f>IF(I6="", "", VLOOKUP(I6, DanhSachPhongBanRange, 2, FALSE))</f>
      </c>
      <c r="AB6" s="0">
        <f>IF(J6="", "", VLOOKUP(J6, DanhSachChucDanhRange, 2, FALSE))</f>
      </c>
      <c r="AC6" s="0">
        <f>IF(L6="", "", VLOOKUP(L6, ThangLuongData, 2, FALSE))</f>
      </c>
      <c r="AD6" s="0">
        <f>IF(M6="", "", VLOOKUP(M6, NgachLuongData, 2, FALSE))</f>
      </c>
      <c r="AE6" s="0">
        <f>IF(N6="", "", VLOOKUP(N6, BacLuongData, 2, FALSE))</f>
      </c>
      <c r="AF6" s="0">
        <f>IF(P6="", "", VLOOKUP(P6, DanhSachCodeId, 3, FALSE))</f>
      </c>
    </row>
    <row r="7">
      <c r="A7" s="0">
        <f>IF(B7="", "", VLOOKUP(B7, DanhSachCodeId, 3, FALSE))</f>
      </c>
      <c r="C7" s="0">
        <f>IF(B7="", "", VLOOKUP(B7, DanhSachNhanVien, 2, FALSE))</f>
      </c>
      <c r="Q7" s="0">
        <f>IF(P7="", "", VLOOKUP(P7, DanhSachNhanVien, 2, FALSE))</f>
      </c>
      <c r="Z7" s="0">
        <f>IF(D7="", "", VLOOKUP(D7, DanhSachLoaiQuyetDinhRange, 2, FALSE))</f>
      </c>
      <c r="AA7" s="0">
        <f>IF(I7="", "", VLOOKUP(I7, DanhSachPhongBanRange, 2, FALSE))</f>
      </c>
      <c r="AB7" s="0">
        <f>IF(J7="", "", VLOOKUP(J7, DanhSachChucDanhRange, 2, FALSE))</f>
      </c>
      <c r="AC7" s="0">
        <f>IF(L7="", "", VLOOKUP(L7, ThangLuongData, 2, FALSE))</f>
      </c>
      <c r="AD7" s="0">
        <f>IF(M7="", "", VLOOKUP(M7, NgachLuongData, 2, FALSE))</f>
      </c>
      <c r="AE7" s="0">
        <f>IF(N7="", "", VLOOKUP(N7, BacLuongData, 2, FALSE))</f>
      </c>
      <c r="AF7" s="0">
        <f>IF(P7="", "", VLOOKUP(P7, DanhSachCodeId, 3, FALSE))</f>
      </c>
    </row>
    <row r="8">
      <c r="A8" s="0">
        <f>IF(B8="", "", VLOOKUP(B8, DanhSachCodeId, 3, FALSE))</f>
      </c>
      <c r="C8" s="0">
        <f>IF(B8="", "", VLOOKUP(B8, DanhSachNhanVien, 2, FALSE))</f>
      </c>
      <c r="Q8" s="0">
        <f>IF(P8="", "", VLOOKUP(P8, DanhSachNhanVien, 2, FALSE))</f>
      </c>
      <c r="Z8" s="0">
        <f>IF(D8="", "", VLOOKUP(D8, DanhSachLoaiQuyetDinhRange, 2, FALSE))</f>
      </c>
      <c r="AA8" s="0">
        <f>IF(I8="", "", VLOOKUP(I8, DanhSachPhongBanRange, 2, FALSE))</f>
      </c>
      <c r="AB8" s="0">
        <f>IF(J8="", "", VLOOKUP(J8, DanhSachChucDanhRange, 2, FALSE))</f>
      </c>
      <c r="AC8" s="0">
        <f>IF(L8="", "", VLOOKUP(L8, ThangLuongData, 2, FALSE))</f>
      </c>
      <c r="AD8" s="0">
        <f>IF(M8="", "", VLOOKUP(M8, NgachLuongData, 2, FALSE))</f>
      </c>
      <c r="AE8" s="0">
        <f>IF(N8="", "", VLOOKUP(N8, BacLuongData, 2, FALSE))</f>
      </c>
      <c r="AF8" s="0">
        <f>IF(P8="", "", VLOOKUP(P8, DanhSachCodeId, 3, FALSE))</f>
      </c>
    </row>
    <row r="9">
      <c r="A9" s="0">
        <f>IF(B9="", "", VLOOKUP(B9, DanhSachCodeId, 3, FALSE))</f>
      </c>
      <c r="C9" s="0">
        <f>IF(B9="", "", VLOOKUP(B9, DanhSachNhanVien, 2, FALSE))</f>
      </c>
      <c r="Q9" s="0">
        <f>IF(P9="", "", VLOOKUP(P9, DanhSachNhanVien, 2, FALSE))</f>
      </c>
      <c r="Z9" s="0">
        <f>IF(D9="", "", VLOOKUP(D9, DanhSachLoaiQuyetDinhRange, 2, FALSE))</f>
      </c>
      <c r="AA9" s="0">
        <f>IF(I9="", "", VLOOKUP(I9, DanhSachPhongBanRange, 2, FALSE))</f>
      </c>
      <c r="AB9" s="0">
        <f>IF(J9="", "", VLOOKUP(J9, DanhSachChucDanhRange, 2, FALSE))</f>
      </c>
      <c r="AC9" s="0">
        <f>IF(L9="", "", VLOOKUP(L9, ThangLuongData, 2, FALSE))</f>
      </c>
      <c r="AD9" s="0">
        <f>IF(M9="", "", VLOOKUP(M9, NgachLuongData, 2, FALSE))</f>
      </c>
      <c r="AE9" s="0">
        <f>IF(N9="", "", VLOOKUP(N9, BacLuongData, 2, FALSE))</f>
      </c>
      <c r="AF9" s="0">
        <f>IF(P9="", "", VLOOKUP(P9, DanhSachCodeId, 3, FALSE))</f>
      </c>
    </row>
    <row r="10">
      <c r="A10" s="0">
        <f>IF(B10="", "", VLOOKUP(B10, DanhSachCodeId, 3, FALSE))</f>
      </c>
      <c r="C10" s="0">
        <f>IF(B10="", "", VLOOKUP(B10, DanhSachNhanVien, 2, FALSE))</f>
      </c>
      <c r="Q10" s="0">
        <f>IF(P10="", "", VLOOKUP(P10, DanhSachNhanVien, 2, FALSE))</f>
      </c>
      <c r="Z10" s="0">
        <f>IF(D10="", "", VLOOKUP(D10, DanhSachLoaiQuyetDinhRange, 2, FALSE))</f>
      </c>
      <c r="AA10" s="0">
        <f>IF(I10="", "", VLOOKUP(I10, DanhSachPhongBanRange, 2, FALSE))</f>
      </c>
      <c r="AB10" s="0">
        <f>IF(J10="", "", VLOOKUP(J10, DanhSachChucDanhRange, 2, FALSE))</f>
      </c>
      <c r="AC10" s="0">
        <f>IF(L10="", "", VLOOKUP(L10, ThangLuongData, 2, FALSE))</f>
      </c>
      <c r="AD10" s="0">
        <f>IF(M10="", "", VLOOKUP(M10, NgachLuongData, 2, FALSE))</f>
      </c>
      <c r="AE10" s="0">
        <f>IF(N10="", "", VLOOKUP(N10, BacLuongData, 2, FALSE))</f>
      </c>
      <c r="AF10" s="0">
        <f>IF(P10="", "", VLOOKUP(P10, DanhSachCodeId, 3, FALSE))</f>
      </c>
    </row>
    <row r="11">
      <c r="A11" s="0">
        <f>IF(B11="", "", VLOOKUP(B11, DanhSachCodeId, 3, FALSE))</f>
      </c>
      <c r="C11" s="0">
        <f>IF(B11="", "", VLOOKUP(B11, DanhSachNhanVien, 2, FALSE))</f>
      </c>
      <c r="Q11" s="0">
        <f>IF(P11="", "", VLOOKUP(P11, DanhSachNhanVien, 2, FALSE))</f>
      </c>
      <c r="Z11" s="0">
        <f>IF(D11="", "", VLOOKUP(D11, DanhSachLoaiQuyetDinhRange, 2, FALSE))</f>
      </c>
      <c r="AA11" s="0">
        <f>IF(I11="", "", VLOOKUP(I11, DanhSachPhongBanRange, 2, FALSE))</f>
      </c>
      <c r="AB11" s="0">
        <f>IF(J11="", "", VLOOKUP(J11, DanhSachChucDanhRange, 2, FALSE))</f>
      </c>
      <c r="AC11" s="0">
        <f>IF(L11="", "", VLOOKUP(L11, ThangLuongData, 2, FALSE))</f>
      </c>
      <c r="AD11" s="0">
        <f>IF(M11="", "", VLOOKUP(M11, NgachLuongData, 2, FALSE))</f>
      </c>
      <c r="AE11" s="0">
        <f>IF(N11="", "", VLOOKUP(N11, BacLuongData, 2, FALSE))</f>
      </c>
      <c r="AF11" s="0">
        <f>IF(P11="", "", VLOOKUP(P11, DanhSachCodeId, 3, FALSE))</f>
      </c>
    </row>
    <row r="12">
      <c r="A12" s="0">
        <f>IF(B12="", "", VLOOKUP(B12, DanhSachCodeId, 3, FALSE))</f>
      </c>
      <c r="C12" s="0">
        <f>IF(B12="", "", VLOOKUP(B12, DanhSachNhanVien, 2, FALSE))</f>
      </c>
      <c r="Q12" s="0">
        <f>IF(P12="", "", VLOOKUP(P12, DanhSachNhanVien, 2, FALSE))</f>
      </c>
      <c r="Z12" s="0">
        <f>IF(D12="", "", VLOOKUP(D12, DanhSachLoaiQuyetDinhRange, 2, FALSE))</f>
      </c>
      <c r="AA12" s="0">
        <f>IF(I12="", "", VLOOKUP(I12, DanhSachPhongBanRange, 2, FALSE))</f>
      </c>
      <c r="AB12" s="0">
        <f>IF(J12="", "", VLOOKUP(J12, DanhSachChucDanhRange, 2, FALSE))</f>
      </c>
      <c r="AC12" s="0">
        <f>IF(L12="", "", VLOOKUP(L12, ThangLuongData, 2, FALSE))</f>
      </c>
      <c r="AD12" s="0">
        <f>IF(M12="", "", VLOOKUP(M12, NgachLuongData, 2, FALSE))</f>
      </c>
      <c r="AE12" s="0">
        <f>IF(N12="", "", VLOOKUP(N12, BacLuongData, 2, FALSE))</f>
      </c>
      <c r="AF12" s="0">
        <f>IF(P12="", "", VLOOKUP(P12, DanhSachCodeId, 3, FALSE))</f>
      </c>
    </row>
    <row r="13">
      <c r="A13" s="0">
        <f>IF(B13="", "", VLOOKUP(B13, DanhSachCodeId, 3, FALSE))</f>
      </c>
      <c r="C13" s="0">
        <f>IF(B13="", "", VLOOKUP(B13, DanhSachNhanVien, 2, FALSE))</f>
      </c>
      <c r="Q13" s="0">
        <f>IF(P13="", "", VLOOKUP(P13, DanhSachNhanVien, 2, FALSE))</f>
      </c>
      <c r="Z13" s="0">
        <f>IF(D13="", "", VLOOKUP(D13, DanhSachLoaiQuyetDinhRange, 2, FALSE))</f>
      </c>
      <c r="AA13" s="0">
        <f>IF(I13="", "", VLOOKUP(I13, DanhSachPhongBanRange, 2, FALSE))</f>
      </c>
      <c r="AB13" s="0">
        <f>IF(J13="", "", VLOOKUP(J13, DanhSachChucDanhRange, 2, FALSE))</f>
      </c>
      <c r="AC13" s="0">
        <f>IF(L13="", "", VLOOKUP(L13, ThangLuongData, 2, FALSE))</f>
      </c>
      <c r="AD13" s="0">
        <f>IF(M13="", "", VLOOKUP(M13, NgachLuongData, 2, FALSE))</f>
      </c>
      <c r="AE13" s="0">
        <f>IF(N13="", "", VLOOKUP(N13, BacLuongData, 2, FALSE))</f>
      </c>
      <c r="AF13" s="0">
        <f>IF(P13="", "", VLOOKUP(P13, DanhSachCodeId, 3, FALSE))</f>
      </c>
    </row>
    <row r="14">
      <c r="A14" s="0">
        <f>IF(B14="", "", VLOOKUP(B14, DanhSachCodeId, 3, FALSE))</f>
      </c>
      <c r="C14" s="0">
        <f>IF(B14="", "", VLOOKUP(B14, DanhSachNhanVien, 2, FALSE))</f>
      </c>
      <c r="Q14" s="0">
        <f>IF(P14="", "", VLOOKUP(P14, DanhSachNhanVien, 2, FALSE))</f>
      </c>
      <c r="Z14" s="0">
        <f>IF(D14="", "", VLOOKUP(D14, DanhSachLoaiQuyetDinhRange, 2, FALSE))</f>
      </c>
      <c r="AA14" s="0">
        <f>IF(I14="", "", VLOOKUP(I14, DanhSachPhongBanRange, 2, FALSE))</f>
      </c>
      <c r="AB14" s="0">
        <f>IF(J14="", "", VLOOKUP(J14, DanhSachChucDanhRange, 2, FALSE))</f>
      </c>
      <c r="AC14" s="0">
        <f>IF(L14="", "", VLOOKUP(L14, ThangLuongData, 2, FALSE))</f>
      </c>
      <c r="AD14" s="0">
        <f>IF(M14="", "", VLOOKUP(M14, NgachLuongData, 2, FALSE))</f>
      </c>
      <c r="AE14" s="0">
        <f>IF(N14="", "", VLOOKUP(N14, BacLuongData, 2, FALSE))</f>
      </c>
      <c r="AF14" s="0">
        <f>IF(P14="", "", VLOOKUP(P14, DanhSachCodeId, 3, FALSE))</f>
      </c>
    </row>
    <row r="15">
      <c r="A15" s="0">
        <f>IF(B15="", "", VLOOKUP(B15, DanhSachCodeId, 3, FALSE))</f>
      </c>
      <c r="C15" s="0">
        <f>IF(B15="", "", VLOOKUP(B15, DanhSachNhanVien, 2, FALSE))</f>
      </c>
      <c r="Q15" s="0">
        <f>IF(P15="", "", VLOOKUP(P15, DanhSachNhanVien, 2, FALSE))</f>
      </c>
      <c r="Z15" s="0">
        <f>IF(D15="", "", VLOOKUP(D15, DanhSachLoaiQuyetDinhRange, 2, FALSE))</f>
      </c>
      <c r="AA15" s="0">
        <f>IF(I15="", "", VLOOKUP(I15, DanhSachPhongBanRange, 2, FALSE))</f>
      </c>
      <c r="AB15" s="0">
        <f>IF(J15="", "", VLOOKUP(J15, DanhSachChucDanhRange, 2, FALSE))</f>
      </c>
      <c r="AC15" s="0">
        <f>IF(L15="", "", VLOOKUP(L15, ThangLuongData, 2, FALSE))</f>
      </c>
      <c r="AD15" s="0">
        <f>IF(M15="", "", VLOOKUP(M15, NgachLuongData, 2, FALSE))</f>
      </c>
      <c r="AE15" s="0">
        <f>IF(N15="", "", VLOOKUP(N15, BacLuongData, 2, FALSE))</f>
      </c>
      <c r="AF15" s="0">
        <f>IF(P15="", "", VLOOKUP(P15, DanhSachCodeId, 3, FALSE))</f>
      </c>
    </row>
    <row r="16">
      <c r="A16" s="0">
        <f>IF(B16="", "", VLOOKUP(B16, DanhSachCodeId, 3, FALSE))</f>
      </c>
      <c r="C16" s="0">
        <f>IF(B16="", "", VLOOKUP(B16, DanhSachNhanVien, 2, FALSE))</f>
      </c>
      <c r="Q16" s="0">
        <f>IF(P16="", "", VLOOKUP(P16, DanhSachNhanVien, 2, FALSE))</f>
      </c>
      <c r="Z16" s="0">
        <f>IF(D16="", "", VLOOKUP(D16, DanhSachLoaiQuyetDinhRange, 2, FALSE))</f>
      </c>
      <c r="AA16" s="0">
        <f>IF(I16="", "", VLOOKUP(I16, DanhSachPhongBanRange, 2, FALSE))</f>
      </c>
      <c r="AB16" s="0">
        <f>IF(J16="", "", VLOOKUP(J16, DanhSachChucDanhRange, 2, FALSE))</f>
      </c>
      <c r="AC16" s="0">
        <f>IF(L16="", "", VLOOKUP(L16, ThangLuongData, 2, FALSE))</f>
      </c>
      <c r="AD16" s="0">
        <f>IF(M16="", "", VLOOKUP(M16, NgachLuongData, 2, FALSE))</f>
      </c>
      <c r="AE16" s="0">
        <f>IF(N16="", "", VLOOKUP(N16, BacLuongData, 2, FALSE))</f>
      </c>
      <c r="AF16" s="0">
        <f>IF(P16="", "", VLOOKUP(P16, DanhSachCodeId, 3, FALSE))</f>
      </c>
    </row>
    <row r="17">
      <c r="A17" s="0">
        <f>IF(B17="", "", VLOOKUP(B17, DanhSachCodeId, 3, FALSE))</f>
      </c>
      <c r="C17" s="0">
        <f>IF(B17="", "", VLOOKUP(B17, DanhSachNhanVien, 2, FALSE))</f>
      </c>
      <c r="Q17" s="0">
        <f>IF(P17="", "", VLOOKUP(P17, DanhSachNhanVien, 2, FALSE))</f>
      </c>
      <c r="Z17" s="0">
        <f>IF(D17="", "", VLOOKUP(D17, DanhSachLoaiQuyetDinhRange, 2, FALSE))</f>
      </c>
      <c r="AA17" s="0">
        <f>IF(I17="", "", VLOOKUP(I17, DanhSachPhongBanRange, 2, FALSE))</f>
      </c>
      <c r="AB17" s="0">
        <f>IF(J17="", "", VLOOKUP(J17, DanhSachChucDanhRange, 2, FALSE))</f>
      </c>
      <c r="AC17" s="0">
        <f>IF(L17="", "", VLOOKUP(L17, ThangLuongData, 2, FALSE))</f>
      </c>
      <c r="AD17" s="0">
        <f>IF(M17="", "", VLOOKUP(M17, NgachLuongData, 2, FALSE))</f>
      </c>
      <c r="AE17" s="0">
        <f>IF(N17="", "", VLOOKUP(N17, BacLuongData, 2, FALSE))</f>
      </c>
      <c r="AF17" s="0">
        <f>IF(P17="", "", VLOOKUP(P17, DanhSachCodeId, 3, FALSE))</f>
      </c>
    </row>
    <row r="18">
      <c r="A18" s="0">
        <f>IF(B18="", "", VLOOKUP(B18, DanhSachCodeId, 3, FALSE))</f>
      </c>
      <c r="C18" s="0">
        <f>IF(B18="", "", VLOOKUP(B18, DanhSachNhanVien, 2, FALSE))</f>
      </c>
      <c r="Q18" s="0">
        <f>IF(P18="", "", VLOOKUP(P18, DanhSachNhanVien, 2, FALSE))</f>
      </c>
      <c r="Z18" s="0">
        <f>IF(D18="", "", VLOOKUP(D18, DanhSachLoaiQuyetDinhRange, 2, FALSE))</f>
      </c>
      <c r="AA18" s="0">
        <f>IF(I18="", "", VLOOKUP(I18, DanhSachPhongBanRange, 2, FALSE))</f>
      </c>
      <c r="AB18" s="0">
        <f>IF(J18="", "", VLOOKUP(J18, DanhSachChucDanhRange, 2, FALSE))</f>
      </c>
      <c r="AC18" s="0">
        <f>IF(L18="", "", VLOOKUP(L18, ThangLuongData, 2, FALSE))</f>
      </c>
      <c r="AD18" s="0">
        <f>IF(M18="", "", VLOOKUP(M18, NgachLuongData, 2, FALSE))</f>
      </c>
      <c r="AE18" s="0">
        <f>IF(N18="", "", VLOOKUP(N18, BacLuongData, 2, FALSE))</f>
      </c>
      <c r="AF18" s="0">
        <f>IF(P18="", "", VLOOKUP(P18, DanhSachCodeId, 3, FALSE))</f>
      </c>
    </row>
    <row r="19">
      <c r="A19" s="0">
        <f>IF(B19="", "", VLOOKUP(B19, DanhSachCodeId, 3, FALSE))</f>
      </c>
      <c r="C19" s="0">
        <f>IF(B19="", "", VLOOKUP(B19, DanhSachNhanVien, 2, FALSE))</f>
      </c>
      <c r="Q19" s="0">
        <f>IF(P19="", "", VLOOKUP(P19, DanhSachNhanVien, 2, FALSE))</f>
      </c>
      <c r="Z19" s="0">
        <f>IF(D19="", "", VLOOKUP(D19, DanhSachLoaiQuyetDinhRange, 2, FALSE))</f>
      </c>
      <c r="AA19" s="0">
        <f>IF(I19="", "", VLOOKUP(I19, DanhSachPhongBanRange, 2, FALSE))</f>
      </c>
      <c r="AB19" s="0">
        <f>IF(J19="", "", VLOOKUP(J19, DanhSachChucDanhRange, 2, FALSE))</f>
      </c>
      <c r="AC19" s="0">
        <f>IF(L19="", "", VLOOKUP(L19, ThangLuongData, 2, FALSE))</f>
      </c>
      <c r="AD19" s="0">
        <f>IF(M19="", "", VLOOKUP(M19, NgachLuongData, 2, FALSE))</f>
      </c>
      <c r="AE19" s="0">
        <f>IF(N19="", "", VLOOKUP(N19, BacLuongData, 2, FALSE))</f>
      </c>
      <c r="AF19" s="0">
        <f>IF(P19="", "", VLOOKUP(P19, DanhSachCodeId, 3, FALSE))</f>
      </c>
    </row>
    <row r="20">
      <c r="A20" s="0">
        <f>IF(B20="", "", VLOOKUP(B20, DanhSachCodeId, 3, FALSE))</f>
      </c>
      <c r="C20" s="0">
        <f>IF(B20="", "", VLOOKUP(B20, DanhSachNhanVien, 2, FALSE))</f>
      </c>
      <c r="Q20" s="0">
        <f>IF(P20="", "", VLOOKUP(P20, DanhSachNhanVien, 2, FALSE))</f>
      </c>
      <c r="Z20" s="0">
        <f>IF(D20="", "", VLOOKUP(D20, DanhSachLoaiQuyetDinhRange, 2, FALSE))</f>
      </c>
      <c r="AA20" s="0">
        <f>IF(I20="", "", VLOOKUP(I20, DanhSachPhongBanRange, 2, FALSE))</f>
      </c>
      <c r="AB20" s="0">
        <f>IF(J20="", "", VLOOKUP(J20, DanhSachChucDanhRange, 2, FALSE))</f>
      </c>
      <c r="AC20" s="0">
        <f>IF(L20="", "", VLOOKUP(L20, ThangLuongData, 2, FALSE))</f>
      </c>
      <c r="AD20" s="0">
        <f>IF(M20="", "", VLOOKUP(M20, NgachLuongData, 2, FALSE))</f>
      </c>
      <c r="AE20" s="0">
        <f>IF(N20="", "", VLOOKUP(N20, BacLuongData, 2, FALSE))</f>
      </c>
      <c r="AF20" s="0">
        <f>IF(P20="", "", VLOOKUP(P20, DanhSachCodeId, 3, FALSE))</f>
      </c>
    </row>
    <row r="21">
      <c r="A21" s="0">
        <f>IF(B21="", "", VLOOKUP(B21, DanhSachCodeId, 3, FALSE))</f>
      </c>
      <c r="C21" s="0">
        <f>IF(B21="", "", VLOOKUP(B21, DanhSachNhanVien, 2, FALSE))</f>
      </c>
      <c r="Q21" s="0">
        <f>IF(P21="", "", VLOOKUP(P21, DanhSachNhanVien, 2, FALSE))</f>
      </c>
      <c r="Z21" s="0">
        <f>IF(D21="", "", VLOOKUP(D21, DanhSachLoaiQuyetDinhRange, 2, FALSE))</f>
      </c>
      <c r="AA21" s="0">
        <f>IF(I21="", "", VLOOKUP(I21, DanhSachPhongBanRange, 2, FALSE))</f>
      </c>
      <c r="AB21" s="0">
        <f>IF(J21="", "", VLOOKUP(J21, DanhSachChucDanhRange, 2, FALSE))</f>
      </c>
      <c r="AC21" s="0">
        <f>IF(L21="", "", VLOOKUP(L21, ThangLuongData, 2, FALSE))</f>
      </c>
      <c r="AD21" s="0">
        <f>IF(M21="", "", VLOOKUP(M21, NgachLuongData, 2, FALSE))</f>
      </c>
      <c r="AE21" s="0">
        <f>IF(N21="", "", VLOOKUP(N21, BacLuongData, 2, FALSE))</f>
      </c>
      <c r="AF21" s="0">
        <f>IF(P21="", "", VLOOKUP(P21, DanhSachCodeId, 3, FALSE))</f>
      </c>
    </row>
    <row r="22">
      <c r="A22" s="0">
        <f>IF(B22="", "", VLOOKUP(B22, DanhSachCodeId, 3, FALSE))</f>
      </c>
      <c r="C22" s="0">
        <f>IF(B22="", "", VLOOKUP(B22, DanhSachNhanVien, 2, FALSE))</f>
      </c>
      <c r="Q22" s="0">
        <f>IF(P22="", "", VLOOKUP(P22, DanhSachNhanVien, 2, FALSE))</f>
      </c>
      <c r="Z22" s="0">
        <f>IF(D22="", "", VLOOKUP(D22, DanhSachLoaiQuyetDinhRange, 2, FALSE))</f>
      </c>
      <c r="AA22" s="0">
        <f>IF(I22="", "", VLOOKUP(I22, DanhSachPhongBanRange, 2, FALSE))</f>
      </c>
      <c r="AB22" s="0">
        <f>IF(J22="", "", VLOOKUP(J22, DanhSachChucDanhRange, 2, FALSE))</f>
      </c>
      <c r="AC22" s="0">
        <f>IF(L22="", "", VLOOKUP(L22, ThangLuongData, 2, FALSE))</f>
      </c>
      <c r="AD22" s="0">
        <f>IF(M22="", "", VLOOKUP(M22, NgachLuongData, 2, FALSE))</f>
      </c>
      <c r="AE22" s="0">
        <f>IF(N22="", "", VLOOKUP(N22, BacLuongData, 2, FALSE))</f>
      </c>
      <c r="AF22" s="0">
        <f>IF(P22="", "", VLOOKUP(P22, DanhSachCodeId, 3, FALSE))</f>
      </c>
    </row>
    <row r="23">
      <c r="A23" s="0">
        <f>IF(B23="", "", VLOOKUP(B23, DanhSachCodeId, 3, FALSE))</f>
      </c>
      <c r="C23" s="0">
        <f>IF(B23="", "", VLOOKUP(B23, DanhSachNhanVien, 2, FALSE))</f>
      </c>
      <c r="Q23" s="0">
        <f>IF(P23="", "", VLOOKUP(P23, DanhSachNhanVien, 2, FALSE))</f>
      </c>
      <c r="Z23" s="0">
        <f>IF(D23="", "", VLOOKUP(D23, DanhSachLoaiQuyetDinhRange, 2, FALSE))</f>
      </c>
      <c r="AA23" s="0">
        <f>IF(I23="", "", VLOOKUP(I23, DanhSachPhongBanRange, 2, FALSE))</f>
      </c>
      <c r="AB23" s="0">
        <f>IF(J23="", "", VLOOKUP(J23, DanhSachChucDanhRange, 2, FALSE))</f>
      </c>
      <c r="AC23" s="0">
        <f>IF(L23="", "", VLOOKUP(L23, ThangLuongData, 2, FALSE))</f>
      </c>
      <c r="AD23" s="0">
        <f>IF(M23="", "", VLOOKUP(M23, NgachLuongData, 2, FALSE))</f>
      </c>
      <c r="AE23" s="0">
        <f>IF(N23="", "", VLOOKUP(N23, BacLuongData, 2, FALSE))</f>
      </c>
      <c r="AF23" s="0">
        <f>IF(P23="", "", VLOOKUP(P23, DanhSachCodeId, 3, FALSE))</f>
      </c>
    </row>
    <row r="24">
      <c r="A24" s="0">
        <f>IF(B24="", "", VLOOKUP(B24, DanhSachCodeId, 3, FALSE))</f>
      </c>
      <c r="C24" s="0">
        <f>IF(B24="", "", VLOOKUP(B24, DanhSachNhanVien, 2, FALSE))</f>
      </c>
      <c r="O24" s="8"/>
      <c r="Q24" s="0">
        <f>IF(P24="", "", VLOOKUP(P24, DanhSachNhanVien, 2, FALSE))</f>
      </c>
      <c r="Z24" s="0">
        <f>IF(D24="", "", VLOOKUP(D24, DanhSachLoaiQuyetDinhRange, 2, FALSE))</f>
      </c>
      <c r="AA24" s="0">
        <f>IF(I24="", "", VLOOKUP(I24, DanhSachPhongBanRange, 2, FALSE))</f>
      </c>
      <c r="AB24" s="0">
        <f>IF(J24="", "", VLOOKUP(J24, DanhSachChucDanhRange, 2, FALSE))</f>
      </c>
      <c r="AC24" s="0">
        <f>IF(L24="", "", VLOOKUP(L24, ThangLuongData, 2, FALSE))</f>
      </c>
      <c r="AD24" s="0">
        <f>IF(M24="", "", VLOOKUP(M24, NgachLuongData, 2, FALSE))</f>
      </c>
      <c r="AE24" s="0">
        <f>IF(N24="", "", VLOOKUP(N24, BacLuongData, 2, FALSE))</f>
      </c>
      <c r="AF24" s="0">
        <f>IF(P24="", "", VLOOKUP(P24, DanhSachCodeId, 3, FALSE))</f>
      </c>
    </row>
    <row r="25">
      <c r="A25" s="0">
        <f>IF(B25="", "", VLOOKUP(B25, DanhSachCodeId, 3, FALSE))</f>
      </c>
      <c r="C25" s="0">
        <f>IF(B25="", "", VLOOKUP(B25, DanhSachNhanVien, 2, FALSE))</f>
      </c>
      <c r="Q25" s="0">
        <f>IF(P25="", "", VLOOKUP(P25, DanhSachNhanVien, 2, FALSE))</f>
      </c>
      <c r="Z25" s="0">
        <f>IF(D25="", "", VLOOKUP(D25, DanhSachLoaiQuyetDinhRange, 2, FALSE))</f>
      </c>
      <c r="AA25" s="0">
        <f>IF(I25="", "", VLOOKUP(I25, DanhSachPhongBanRange, 2, FALSE))</f>
      </c>
      <c r="AB25" s="0">
        <f>IF(J25="", "", VLOOKUP(J25, DanhSachChucDanhRange, 2, FALSE))</f>
      </c>
      <c r="AC25" s="0">
        <f>IF(L25="", "", VLOOKUP(L25, ThangLuongData, 2, FALSE))</f>
      </c>
      <c r="AD25" s="0">
        <f>IF(M25="", "", VLOOKUP(M25, NgachLuongData, 2, FALSE))</f>
      </c>
      <c r="AE25" s="0">
        <f>IF(N25="", "", VLOOKUP(N25, BacLuongData, 2, FALSE))</f>
      </c>
      <c r="AF25" s="0">
        <f>IF(P25="", "", VLOOKUP(P25, DanhSachCodeId, 3, FALSE))</f>
      </c>
    </row>
    <row r="26">
      <c r="A26" s="0">
        <f>IF(B26="", "", VLOOKUP(B26, DanhSachCodeId, 3, FALSE))</f>
      </c>
      <c r="C26" s="0">
        <f>IF(B26="", "", VLOOKUP(B26, DanhSachNhanVien, 2, FALSE))</f>
      </c>
      <c r="Q26" s="0">
        <f>IF(P26="", "", VLOOKUP(P26, DanhSachNhanVien, 2, FALSE))</f>
      </c>
      <c r="Z26" s="0">
        <f>IF(D26="", "", VLOOKUP(D26, DanhSachLoaiQuyetDinhRange, 2, FALSE))</f>
      </c>
      <c r="AA26" s="0">
        <f>IF(I26="", "", VLOOKUP(I26, DanhSachPhongBanRange, 2, FALSE))</f>
      </c>
      <c r="AB26" s="0">
        <f>IF(J26="", "", VLOOKUP(J26, DanhSachChucDanhRange, 2, FALSE))</f>
      </c>
      <c r="AC26" s="0">
        <f>IF(L26="", "", VLOOKUP(L26, ThangLuongData, 2, FALSE))</f>
      </c>
      <c r="AD26" s="0">
        <f>IF(M26="", "", VLOOKUP(M26, NgachLuongData, 2, FALSE))</f>
      </c>
      <c r="AE26" s="0">
        <f>IF(N26="", "", VLOOKUP(N26, BacLuongData, 2, FALSE))</f>
      </c>
      <c r="AF26" s="0">
        <f>IF(P26="", "", VLOOKUP(P26, DanhSachCodeId, 3, FALSE))</f>
      </c>
    </row>
    <row r="27">
      <c r="A27" s="0">
        <f>IF(B27="", "", VLOOKUP(B27, DanhSachCodeId, 3, FALSE))</f>
      </c>
      <c r="C27" s="0">
        <f>IF(B27="", "", VLOOKUP(B27, DanhSachNhanVien, 2, FALSE))</f>
      </c>
      <c r="Q27" s="0">
        <f>IF(P27="", "", VLOOKUP(P27, DanhSachNhanVien, 2, FALSE))</f>
      </c>
      <c r="Z27" s="0">
        <f>IF(D27="", "", VLOOKUP(D27, DanhSachLoaiQuyetDinhRange, 2, FALSE))</f>
      </c>
      <c r="AA27" s="0">
        <f>IF(I27="", "", VLOOKUP(I27, DanhSachPhongBanRange, 2, FALSE))</f>
      </c>
      <c r="AB27" s="0">
        <f>IF(J27="", "", VLOOKUP(J27, DanhSachChucDanhRange, 2, FALSE))</f>
      </c>
      <c r="AC27" s="0">
        <f>IF(L27="", "", VLOOKUP(L27, ThangLuongData, 2, FALSE))</f>
      </c>
      <c r="AD27" s="0">
        <f>IF(M27="", "", VLOOKUP(M27, NgachLuongData, 2, FALSE))</f>
      </c>
      <c r="AE27" s="0">
        <f>IF(N27="", "", VLOOKUP(N27, BacLuongData, 2, FALSE))</f>
      </c>
      <c r="AF27" s="0">
        <f>IF(P27="", "", VLOOKUP(P27, DanhSachCodeId, 3, FALSE))</f>
      </c>
    </row>
    <row r="28">
      <c r="A28" s="0">
        <f>IF(B28="", "", VLOOKUP(B28, DanhSachCodeId, 3, FALSE))</f>
      </c>
      <c r="C28" s="0">
        <f>IF(B28="", "", VLOOKUP(B28, DanhSachNhanVien, 2, FALSE))</f>
      </c>
      <c r="Q28" s="0">
        <f>IF(P28="", "", VLOOKUP(P28, DanhSachNhanVien, 2, FALSE))</f>
      </c>
      <c r="Z28" s="0">
        <f>IF(D28="", "", VLOOKUP(D28, DanhSachLoaiQuyetDinhRange, 2, FALSE))</f>
      </c>
      <c r="AA28" s="0">
        <f>IF(I28="", "", VLOOKUP(I28, DanhSachPhongBanRange, 2, FALSE))</f>
      </c>
      <c r="AB28" s="0">
        <f>IF(J28="", "", VLOOKUP(J28, DanhSachChucDanhRange, 2, FALSE))</f>
      </c>
      <c r="AC28" s="0">
        <f>IF(L28="", "", VLOOKUP(L28, ThangLuongData, 2, FALSE))</f>
      </c>
      <c r="AD28" s="0">
        <f>IF(M28="", "", VLOOKUP(M28, NgachLuongData, 2, FALSE))</f>
      </c>
      <c r="AE28" s="0">
        <f>IF(N28="", "", VLOOKUP(N28, BacLuongData, 2, FALSE))</f>
      </c>
      <c r="AF28" s="0">
        <f>IF(P28="", "", VLOOKUP(P28, DanhSachCodeId, 3, FALSE))</f>
      </c>
    </row>
    <row r="29">
      <c r="A29" s="0">
        <f>IF(B29="", "", VLOOKUP(B29, DanhSachCodeId, 3, FALSE))</f>
      </c>
      <c r="C29" s="0">
        <f>IF(B29="", "", VLOOKUP(B29, DanhSachNhanVien, 2, FALSE))</f>
      </c>
      <c r="Q29" s="0">
        <f>IF(P29="", "", VLOOKUP(P29, DanhSachNhanVien, 2, FALSE))</f>
      </c>
      <c r="Z29" s="0">
        <f>IF(D29="", "", VLOOKUP(D29, DanhSachLoaiQuyetDinhRange, 2, FALSE))</f>
      </c>
      <c r="AA29" s="0">
        <f>IF(I29="", "", VLOOKUP(I29, DanhSachPhongBanRange, 2, FALSE))</f>
      </c>
      <c r="AB29" s="0">
        <f>IF(J29="", "", VLOOKUP(J29, DanhSachChucDanhRange, 2, FALSE))</f>
      </c>
      <c r="AC29" s="0">
        <f>IF(L29="", "", VLOOKUP(L29, ThangLuongData, 2, FALSE))</f>
      </c>
      <c r="AD29" s="0">
        <f>IF(M29="", "", VLOOKUP(M29, NgachLuongData, 2, FALSE))</f>
      </c>
      <c r="AE29" s="0">
        <f>IF(N29="", "", VLOOKUP(N29, BacLuongData, 2, FALSE))</f>
      </c>
      <c r="AF29" s="0">
        <f>IF(P29="", "", VLOOKUP(P29, DanhSachCodeId, 3, FALSE))</f>
      </c>
    </row>
    <row r="30">
      <c r="A30" s="0">
        <f>IF(B30="", "", VLOOKUP(B30, DanhSachCodeId, 3, FALSE))</f>
      </c>
      <c r="C30" s="0">
        <f>IF(B30="", "", VLOOKUP(B30, DanhSachNhanVien, 2, FALSE))</f>
      </c>
      <c r="Q30" s="0">
        <f>IF(P30="", "", VLOOKUP(P30, DanhSachNhanVien, 2, FALSE))</f>
      </c>
      <c r="Z30" s="0">
        <f>IF(D30="", "", VLOOKUP(D30, DanhSachLoaiQuyetDinhRange, 2, FALSE))</f>
      </c>
      <c r="AA30" s="0">
        <f>IF(I30="", "", VLOOKUP(I30, DanhSachPhongBanRange, 2, FALSE))</f>
      </c>
      <c r="AB30" s="0">
        <f>IF(J30="", "", VLOOKUP(J30, DanhSachChucDanhRange, 2, FALSE))</f>
      </c>
      <c r="AC30" s="0">
        <f>IF(L30="", "", VLOOKUP(L30, ThangLuongData, 2, FALSE))</f>
      </c>
      <c r="AD30" s="0">
        <f>IF(M30="", "", VLOOKUP(M30, NgachLuongData, 2, FALSE))</f>
      </c>
      <c r="AE30" s="0">
        <f>IF(N30="", "", VLOOKUP(N30, BacLuongData, 2, FALSE))</f>
      </c>
      <c r="AF30" s="0">
        <f>IF(P30="", "", VLOOKUP(P30, DanhSachCodeId, 3, FALSE))</f>
      </c>
    </row>
    <row r="31">
      <c r="A31" s="0">
        <f>IF(B31="", "", VLOOKUP(B31, DanhSachCodeId, 3, FALSE))</f>
      </c>
      <c r="C31" s="0">
        <f>IF(B31="", "", VLOOKUP(B31, DanhSachNhanVien, 2, FALSE))</f>
      </c>
      <c r="Q31" s="0">
        <f>IF(P31="", "", VLOOKUP(P31, DanhSachNhanVien, 2, FALSE))</f>
      </c>
      <c r="Z31" s="0">
        <f>IF(D31="", "", VLOOKUP(D31, DanhSachLoaiQuyetDinhRange, 2, FALSE))</f>
      </c>
      <c r="AA31" s="0">
        <f>IF(I31="", "", VLOOKUP(I31, DanhSachPhongBanRange, 2, FALSE))</f>
      </c>
      <c r="AB31" s="0">
        <f>IF(J31="", "", VLOOKUP(J31, DanhSachChucDanhRange, 2, FALSE))</f>
      </c>
      <c r="AC31" s="0">
        <f>IF(L31="", "", VLOOKUP(L31, ThangLuongData, 2, FALSE))</f>
      </c>
      <c r="AD31" s="0">
        <f>IF(M31="", "", VLOOKUP(M31, NgachLuongData, 2, FALSE))</f>
      </c>
      <c r="AE31" s="0">
        <f>IF(N31="", "", VLOOKUP(N31, BacLuongData, 2, FALSE))</f>
      </c>
      <c r="AF31" s="0">
        <f>IF(P31="", "", VLOOKUP(P31, DanhSachCodeId, 3, FALSE))</f>
      </c>
    </row>
    <row r="32">
      <c r="A32" s="0">
        <f>IF(B32="", "", VLOOKUP(B32, DanhSachCodeId, 3, FALSE))</f>
      </c>
      <c r="C32" s="0">
        <f>IF(B32="", "", VLOOKUP(B32, DanhSachNhanVien, 2, FALSE))</f>
      </c>
      <c r="Q32" s="0">
        <f>IF(P32="", "", VLOOKUP(P32, DanhSachNhanVien, 2, FALSE))</f>
      </c>
      <c r="Z32" s="0">
        <f>IF(D32="", "", VLOOKUP(D32, DanhSachLoaiQuyetDinhRange, 2, FALSE))</f>
      </c>
      <c r="AA32" s="0">
        <f>IF(I32="", "", VLOOKUP(I32, DanhSachPhongBanRange, 2, FALSE))</f>
      </c>
      <c r="AB32" s="0">
        <f>IF(J32="", "", VLOOKUP(J32, DanhSachChucDanhRange, 2, FALSE))</f>
      </c>
      <c r="AC32" s="0">
        <f>IF(L32="", "", VLOOKUP(L32, ThangLuongData, 2, FALSE))</f>
      </c>
      <c r="AD32" s="0">
        <f>IF(M32="", "", VLOOKUP(M32, NgachLuongData, 2, FALSE))</f>
      </c>
      <c r="AE32" s="0">
        <f>IF(N32="", "", VLOOKUP(N32, BacLuongData, 2, FALSE))</f>
      </c>
      <c r="AF32" s="0">
        <f>IF(P32="", "", VLOOKUP(P32, DanhSachCodeId, 3, FALSE))</f>
      </c>
    </row>
    <row r="33">
      <c r="A33" s="0">
        <f>IF(B33="", "", VLOOKUP(B33, DanhSachCodeId, 3, FALSE))</f>
      </c>
      <c r="C33" s="0">
        <f>IF(B33="", "", VLOOKUP(B33, DanhSachNhanVien, 2, FALSE))</f>
      </c>
      <c r="Q33" s="0">
        <f>IF(P33="", "", VLOOKUP(P33, DanhSachNhanVien, 2, FALSE))</f>
      </c>
      <c r="Z33" s="0">
        <f>IF(D33="", "", VLOOKUP(D33, DanhSachLoaiQuyetDinhRange, 2, FALSE))</f>
      </c>
      <c r="AA33" s="0">
        <f>IF(I33="", "", VLOOKUP(I33, DanhSachPhongBanRange, 2, FALSE))</f>
      </c>
      <c r="AB33" s="0">
        <f>IF(J33="", "", VLOOKUP(J33, DanhSachChucDanhRange, 2, FALSE))</f>
      </c>
      <c r="AC33" s="0">
        <f>IF(L33="", "", VLOOKUP(L33, ThangLuongData, 2, FALSE))</f>
      </c>
      <c r="AD33" s="0">
        <f>IF(M33="", "", VLOOKUP(M33, NgachLuongData, 2, FALSE))</f>
      </c>
      <c r="AE33" s="0">
        <f>IF(N33="", "", VLOOKUP(N33, BacLuongData, 2, FALSE))</f>
      </c>
      <c r="AF33" s="0">
        <f>IF(P33="", "", VLOOKUP(P33, DanhSachCodeId, 3, FALSE))</f>
      </c>
    </row>
    <row r="34">
      <c r="A34" s="0">
        <f>IF(B34="", "", VLOOKUP(B34, DanhSachCodeId, 3, FALSE))</f>
      </c>
      <c r="C34" s="0">
        <f>IF(B34="", "", VLOOKUP(B34, DanhSachNhanVien, 2, FALSE))</f>
      </c>
      <c r="Q34" s="0">
        <f>IF(P34="", "", VLOOKUP(P34, DanhSachNhanVien, 2, FALSE))</f>
      </c>
      <c r="Z34" s="0">
        <f>IF(D34="", "", VLOOKUP(D34, DanhSachLoaiQuyetDinhRange, 2, FALSE))</f>
      </c>
      <c r="AA34" s="0">
        <f>IF(I34="", "", VLOOKUP(I34, DanhSachPhongBanRange, 2, FALSE))</f>
      </c>
      <c r="AB34" s="0">
        <f>IF(J34="", "", VLOOKUP(J34, DanhSachChucDanhRange, 2, FALSE))</f>
      </c>
      <c r="AC34" s="0">
        <f>IF(L34="", "", VLOOKUP(L34, ThangLuongData, 2, FALSE))</f>
      </c>
      <c r="AD34" s="0">
        <f>IF(M34="", "", VLOOKUP(M34, NgachLuongData, 2, FALSE))</f>
      </c>
      <c r="AE34" s="0">
        <f>IF(N34="", "", VLOOKUP(N34, BacLuongData, 2, FALSE))</f>
      </c>
      <c r="AF34" s="0">
        <f>IF(P34="", "", VLOOKUP(P34, DanhSachCodeId, 3, FALSE))</f>
      </c>
    </row>
    <row r="35">
      <c r="A35" s="0">
        <f>IF(B35="", "", VLOOKUP(B35, DanhSachCodeId, 3, FALSE))</f>
      </c>
      <c r="C35" s="0">
        <f>IF(B35="", "", VLOOKUP(B35, DanhSachNhanVien, 2, FALSE))</f>
      </c>
      <c r="Q35" s="0">
        <f>IF(P35="", "", VLOOKUP(P35, DanhSachNhanVien, 2, FALSE))</f>
      </c>
      <c r="Z35" s="0">
        <f>IF(D35="", "", VLOOKUP(D35, DanhSachLoaiQuyetDinhRange, 2, FALSE))</f>
      </c>
      <c r="AA35" s="0">
        <f>IF(I35="", "", VLOOKUP(I35, DanhSachPhongBanRange, 2, FALSE))</f>
      </c>
      <c r="AB35" s="0">
        <f>IF(J35="", "", VLOOKUP(J35, DanhSachChucDanhRange, 2, FALSE))</f>
      </c>
      <c r="AC35" s="0">
        <f>IF(L35="", "", VLOOKUP(L35, ThangLuongData, 2, FALSE))</f>
      </c>
      <c r="AD35" s="0">
        <f>IF(M35="", "", VLOOKUP(M35, NgachLuongData, 2, FALSE))</f>
      </c>
      <c r="AE35" s="0">
        <f>IF(N35="", "", VLOOKUP(N35, BacLuongData, 2, FALSE))</f>
      </c>
      <c r="AF35" s="0">
        <f>IF(P35="", "", VLOOKUP(P35, DanhSachCodeId, 3, FALSE))</f>
      </c>
    </row>
    <row r="36">
      <c r="A36" s="0">
        <f>IF(B36="", "", VLOOKUP(B36, DanhSachCodeId, 3, FALSE))</f>
      </c>
      <c r="C36" s="0">
        <f>IF(B36="", "", VLOOKUP(B36, DanhSachNhanVien, 2, FALSE))</f>
      </c>
      <c r="Q36" s="0">
        <f>IF(P36="", "", VLOOKUP(P36, DanhSachNhanVien, 2, FALSE))</f>
      </c>
      <c r="Z36" s="0">
        <f>IF(D36="", "", VLOOKUP(D36, DanhSachLoaiQuyetDinhRange, 2, FALSE))</f>
      </c>
      <c r="AA36" s="0">
        <f>IF(I36="", "", VLOOKUP(I36, DanhSachPhongBanRange, 2, FALSE))</f>
      </c>
      <c r="AB36" s="0">
        <f>IF(J36="", "", VLOOKUP(J36, DanhSachChucDanhRange, 2, FALSE))</f>
      </c>
      <c r="AC36" s="0">
        <f>IF(L36="", "", VLOOKUP(L36, ThangLuongData, 2, FALSE))</f>
      </c>
      <c r="AD36" s="0">
        <f>IF(M36="", "", VLOOKUP(M36, NgachLuongData, 2, FALSE))</f>
      </c>
      <c r="AE36" s="0">
        <f>IF(N36="", "", VLOOKUP(N36, BacLuongData, 2, FALSE))</f>
      </c>
      <c r="AF36" s="0">
        <f>IF(P36="", "", VLOOKUP(P36, DanhSachCodeId, 3, FALSE))</f>
      </c>
    </row>
    <row r="37">
      <c r="A37" s="0">
        <f>IF(B37="", "", VLOOKUP(B37, DanhSachCodeId, 3, FALSE))</f>
      </c>
      <c r="C37" s="0">
        <f>IF(B37="", "", VLOOKUP(B37, DanhSachNhanVien, 2, FALSE))</f>
      </c>
      <c r="Q37" s="0">
        <f>IF(P37="", "", VLOOKUP(P37, DanhSachNhanVien, 2, FALSE))</f>
      </c>
      <c r="Z37" s="0">
        <f>IF(D37="", "", VLOOKUP(D37, DanhSachLoaiQuyetDinhRange, 2, FALSE))</f>
      </c>
      <c r="AA37" s="0">
        <f>IF(I37="", "", VLOOKUP(I37, DanhSachPhongBanRange, 2, FALSE))</f>
      </c>
      <c r="AB37" s="0">
        <f>IF(J37="", "", VLOOKUP(J37, DanhSachChucDanhRange, 2, FALSE))</f>
      </c>
      <c r="AC37" s="0">
        <f>IF(L37="", "", VLOOKUP(L37, ThangLuongData, 2, FALSE))</f>
      </c>
      <c r="AD37" s="0">
        <f>IF(M37="", "", VLOOKUP(M37, NgachLuongData, 2, FALSE))</f>
      </c>
      <c r="AE37" s="0">
        <f>IF(N37="", "", VLOOKUP(N37, BacLuongData, 2, FALSE))</f>
      </c>
      <c r="AF37" s="0">
        <f>IF(P37="", "", VLOOKUP(P37, DanhSachCodeId, 3, FALSE))</f>
      </c>
    </row>
    <row r="38">
      <c r="A38" s="0">
        <f>IF(B38="", "", VLOOKUP(B38, DanhSachCodeId, 3, FALSE))</f>
      </c>
      <c r="C38" s="0">
        <f>IF(B38="", "", VLOOKUP(B38, DanhSachNhanVien, 2, FALSE))</f>
      </c>
      <c r="Q38" s="0">
        <f>IF(P38="", "", VLOOKUP(P38, DanhSachNhanVien, 2, FALSE))</f>
      </c>
      <c r="Z38" s="0">
        <f>IF(D38="", "", VLOOKUP(D38, DanhSachLoaiQuyetDinhRange, 2, FALSE))</f>
      </c>
      <c r="AA38" s="0">
        <f>IF(I38="", "", VLOOKUP(I38, DanhSachPhongBanRange, 2, FALSE))</f>
      </c>
      <c r="AB38" s="0">
        <f>IF(J38="", "", VLOOKUP(J38, DanhSachChucDanhRange, 2, FALSE))</f>
      </c>
      <c r="AC38" s="0">
        <f>IF(L38="", "", VLOOKUP(L38, ThangLuongData, 2, FALSE))</f>
      </c>
      <c r="AD38" s="0">
        <f>IF(M38="", "", VLOOKUP(M38, NgachLuongData, 2, FALSE))</f>
      </c>
      <c r="AE38" s="0">
        <f>IF(N38="", "", VLOOKUP(N38, BacLuongData, 2, FALSE))</f>
      </c>
      <c r="AF38" s="0">
        <f>IF(P38="", "", VLOOKUP(P38, DanhSachCodeId, 3, FALSE))</f>
      </c>
    </row>
    <row r="39">
      <c r="A39" s="0">
        <f>IF(B39="", "", VLOOKUP(B39, DanhSachCodeId, 3, FALSE))</f>
      </c>
      <c r="C39" s="0">
        <f>IF(B39="", "", VLOOKUP(B39, DanhSachNhanVien, 2, FALSE))</f>
      </c>
      <c r="Q39" s="0">
        <f>IF(P39="", "", VLOOKUP(P39, DanhSachNhanVien, 2, FALSE))</f>
      </c>
      <c r="Z39" s="0">
        <f>IF(D39="", "", VLOOKUP(D39, DanhSachLoaiQuyetDinhRange, 2, FALSE))</f>
      </c>
      <c r="AA39" s="0">
        <f>IF(I39="", "", VLOOKUP(I39, DanhSachPhongBanRange, 2, FALSE))</f>
      </c>
      <c r="AB39" s="0">
        <f>IF(J39="", "", VLOOKUP(J39, DanhSachChucDanhRange, 2, FALSE))</f>
      </c>
      <c r="AC39" s="0">
        <f>IF(L39="", "", VLOOKUP(L39, ThangLuongData, 2, FALSE))</f>
      </c>
      <c r="AD39" s="0">
        <f>IF(M39="", "", VLOOKUP(M39, NgachLuongData, 2, FALSE))</f>
      </c>
      <c r="AE39" s="0">
        <f>IF(N39="", "", VLOOKUP(N39, BacLuongData, 2, FALSE))</f>
      </c>
      <c r="AF39" s="0">
        <f>IF(P39="", "", VLOOKUP(P39, DanhSachCodeId, 3, FALSE))</f>
      </c>
    </row>
    <row r="40">
      <c r="A40" s="0">
        <f>IF(B40="", "", VLOOKUP(B40, DanhSachCodeId, 3, FALSE))</f>
      </c>
      <c r="C40" s="0">
        <f>IF(B40="", "", VLOOKUP(B40, DanhSachNhanVien, 2, FALSE))</f>
      </c>
      <c r="Q40" s="0">
        <f>IF(P40="", "", VLOOKUP(P40, DanhSachNhanVien, 2, FALSE))</f>
      </c>
      <c r="Z40" s="0">
        <f>IF(D40="", "", VLOOKUP(D40, DanhSachLoaiQuyetDinhRange, 2, FALSE))</f>
      </c>
      <c r="AA40" s="0">
        <f>IF(I40="", "", VLOOKUP(I40, DanhSachPhongBanRange, 2, FALSE))</f>
      </c>
      <c r="AB40" s="0">
        <f>IF(J40="", "", VLOOKUP(J40, DanhSachChucDanhRange, 2, FALSE))</f>
      </c>
      <c r="AC40" s="0">
        <f>IF(L40="", "", VLOOKUP(L40, ThangLuongData, 2, FALSE))</f>
      </c>
      <c r="AD40" s="0">
        <f>IF(M40="", "", VLOOKUP(M40, NgachLuongData, 2, FALSE))</f>
      </c>
      <c r="AE40" s="0">
        <f>IF(N40="", "", VLOOKUP(N40, BacLuongData, 2, FALSE))</f>
      </c>
      <c r="AF40" s="0">
        <f>IF(P40="", "", VLOOKUP(P40, DanhSachCodeId, 3, FALSE))</f>
      </c>
    </row>
    <row r="41">
      <c r="A41" s="0">
        <f>IF(B41="", "", VLOOKUP(B41, DanhSachCodeId, 3, FALSE))</f>
      </c>
      <c r="C41" s="0">
        <f>IF(B41="", "", VLOOKUP(B41, DanhSachNhanVien, 2, FALSE))</f>
      </c>
      <c r="Q41" s="0">
        <f>IF(P41="", "", VLOOKUP(P41, DanhSachNhanVien, 2, FALSE))</f>
      </c>
      <c r="Z41" s="0">
        <f>IF(D41="", "", VLOOKUP(D41, DanhSachLoaiQuyetDinhRange, 2, FALSE))</f>
      </c>
      <c r="AA41" s="0">
        <f>IF(I41="", "", VLOOKUP(I41, DanhSachPhongBanRange, 2, FALSE))</f>
      </c>
      <c r="AB41" s="0">
        <f>IF(J41="", "", VLOOKUP(J41, DanhSachChucDanhRange, 2, FALSE))</f>
      </c>
      <c r="AC41" s="0">
        <f>IF(L41="", "", VLOOKUP(L41, ThangLuongData, 2, FALSE))</f>
      </c>
      <c r="AD41" s="0">
        <f>IF(M41="", "", VLOOKUP(M41, NgachLuongData, 2, FALSE))</f>
      </c>
      <c r="AE41" s="0">
        <f>IF(N41="", "", VLOOKUP(N41, BacLuongData, 2, FALSE))</f>
      </c>
      <c r="AF41" s="0">
        <f>IF(P41="", "", VLOOKUP(P41, DanhSachCodeId, 3, FALSE))</f>
      </c>
    </row>
    <row r="42">
      <c r="A42" s="0">
        <f>IF(B42="", "", VLOOKUP(B42, DanhSachCodeId, 3, FALSE))</f>
      </c>
      <c r="C42" s="0">
        <f>IF(B42="", "", VLOOKUP(B42, DanhSachNhanVien, 2, FALSE))</f>
      </c>
      <c r="Q42" s="0">
        <f>IF(P42="", "", VLOOKUP(P42, DanhSachNhanVien, 2, FALSE))</f>
      </c>
      <c r="Z42" s="0">
        <f>IF(D42="", "", VLOOKUP(D42, DanhSachLoaiQuyetDinhRange, 2, FALSE))</f>
      </c>
      <c r="AA42" s="0">
        <f>IF(I42="", "", VLOOKUP(I42, DanhSachPhongBanRange, 2, FALSE))</f>
      </c>
      <c r="AB42" s="0">
        <f>IF(J42="", "", VLOOKUP(J42, DanhSachChucDanhRange, 2, FALSE))</f>
      </c>
      <c r="AC42" s="0">
        <f>IF(L42="", "", VLOOKUP(L42, ThangLuongData, 2, FALSE))</f>
      </c>
      <c r="AD42" s="0">
        <f>IF(M42="", "", VLOOKUP(M42, NgachLuongData, 2, FALSE))</f>
      </c>
      <c r="AE42" s="0">
        <f>IF(N42="", "", VLOOKUP(N42, BacLuongData, 2, FALSE))</f>
      </c>
      <c r="AF42" s="0">
        <f>IF(P42="", "", VLOOKUP(P42, DanhSachCodeId, 3, FALSE))</f>
      </c>
    </row>
    <row r="43">
      <c r="A43" s="0">
        <f>IF(B43="", "", VLOOKUP(B43, DanhSachCodeId, 3, FALSE))</f>
      </c>
      <c r="C43" s="0">
        <f>IF(B43="", "", VLOOKUP(B43, DanhSachNhanVien, 2, FALSE))</f>
      </c>
      <c r="Q43" s="0">
        <f>IF(P43="", "", VLOOKUP(P43, DanhSachNhanVien, 2, FALSE))</f>
      </c>
      <c r="Z43" s="0">
        <f>IF(D43="", "", VLOOKUP(D43, DanhSachLoaiQuyetDinhRange, 2, FALSE))</f>
      </c>
      <c r="AA43" s="0">
        <f>IF(I43="", "", VLOOKUP(I43, DanhSachPhongBanRange, 2, FALSE))</f>
      </c>
      <c r="AB43" s="0">
        <f>IF(J43="", "", VLOOKUP(J43, DanhSachChucDanhRange, 2, FALSE))</f>
      </c>
      <c r="AC43" s="0">
        <f>IF(L43="", "", VLOOKUP(L43, ThangLuongData, 2, FALSE))</f>
      </c>
      <c r="AD43" s="0">
        <f>IF(M43="", "", VLOOKUP(M43, NgachLuongData, 2, FALSE))</f>
      </c>
      <c r="AE43" s="0">
        <f>IF(N43="", "", VLOOKUP(N43, BacLuongData, 2, FALSE))</f>
      </c>
      <c r="AF43" s="0">
        <f>IF(P43="", "", VLOOKUP(P43, DanhSachCodeId, 3, FALSE))</f>
      </c>
    </row>
    <row r="44">
      <c r="A44" s="0">
        <f>IF(B44="", "", VLOOKUP(B44, DanhSachCodeId, 3, FALSE))</f>
      </c>
      <c r="C44" s="0">
        <f>IF(B44="", "", VLOOKUP(B44, DanhSachNhanVien, 2, FALSE))</f>
      </c>
      <c r="Q44" s="0">
        <f>IF(P44="", "", VLOOKUP(P44, DanhSachNhanVien, 2, FALSE))</f>
      </c>
      <c r="Z44" s="0">
        <f>IF(D44="", "", VLOOKUP(D44, DanhSachLoaiQuyetDinhRange, 2, FALSE))</f>
      </c>
      <c r="AA44" s="0">
        <f>IF(I44="", "", VLOOKUP(I44, DanhSachPhongBanRange, 2, FALSE))</f>
      </c>
      <c r="AB44" s="0">
        <f>IF(J44="", "", VLOOKUP(J44, DanhSachChucDanhRange, 2, FALSE))</f>
      </c>
      <c r="AC44" s="0">
        <f>IF(L44="", "", VLOOKUP(L44, ThangLuongData, 2, FALSE))</f>
      </c>
      <c r="AD44" s="0">
        <f>IF(M44="", "", VLOOKUP(M44, NgachLuongData, 2, FALSE))</f>
      </c>
      <c r="AE44" s="0">
        <f>IF(N44="", "", VLOOKUP(N44, BacLuongData, 2, FALSE))</f>
      </c>
      <c r="AF44" s="0">
        <f>IF(P44="", "", VLOOKUP(P44, DanhSachCodeId, 3, FALSE))</f>
      </c>
    </row>
    <row r="45">
      <c r="A45" s="0">
        <f>IF(B45="", "", VLOOKUP(B45, DanhSachCodeId, 3, FALSE))</f>
      </c>
      <c r="C45" s="0">
        <f>IF(B45="", "", VLOOKUP(B45, DanhSachNhanVien, 2, FALSE))</f>
      </c>
      <c r="Q45" s="0">
        <f>IF(P45="", "", VLOOKUP(P45, DanhSachNhanVien, 2, FALSE))</f>
      </c>
      <c r="Z45" s="0">
        <f>IF(D45="", "", VLOOKUP(D45, DanhSachLoaiQuyetDinhRange, 2, FALSE))</f>
      </c>
      <c r="AA45" s="0">
        <f>IF(I45="", "", VLOOKUP(I45, DanhSachPhongBanRange, 2, FALSE))</f>
      </c>
      <c r="AB45" s="0">
        <f>IF(J45="", "", VLOOKUP(J45, DanhSachChucDanhRange, 2, FALSE))</f>
      </c>
      <c r="AC45" s="0">
        <f>IF(L45="", "", VLOOKUP(L45, ThangLuongData, 2, FALSE))</f>
      </c>
      <c r="AD45" s="0">
        <f>IF(M45="", "", VLOOKUP(M45, NgachLuongData, 2, FALSE))</f>
      </c>
      <c r="AE45" s="0">
        <f>IF(N45="", "", VLOOKUP(N45, BacLuongData, 2, FALSE))</f>
      </c>
      <c r="AF45" s="0">
        <f>IF(P45="", "", VLOOKUP(P45, DanhSachCodeId, 3, FALSE))</f>
      </c>
    </row>
    <row r="46">
      <c r="A46" s="0">
        <f>IF(B46="", "", VLOOKUP(B46, DanhSachCodeId, 3, FALSE))</f>
      </c>
      <c r="C46" s="0">
        <f>IF(B46="", "", VLOOKUP(B46, DanhSachNhanVien, 2, FALSE))</f>
      </c>
      <c r="Q46" s="0">
        <f>IF(P46="", "", VLOOKUP(P46, DanhSachNhanVien, 2, FALSE))</f>
      </c>
      <c r="Z46" s="0">
        <f>IF(D46="", "", VLOOKUP(D46, DanhSachLoaiQuyetDinhRange, 2, FALSE))</f>
      </c>
      <c r="AA46" s="0">
        <f>IF(I46="", "", VLOOKUP(I46, DanhSachPhongBanRange, 2, FALSE))</f>
      </c>
      <c r="AB46" s="0">
        <f>IF(J46="", "", VLOOKUP(J46, DanhSachChucDanhRange, 2, FALSE))</f>
      </c>
      <c r="AC46" s="0">
        <f>IF(L46="", "", VLOOKUP(L46, ThangLuongData, 2, FALSE))</f>
      </c>
      <c r="AD46" s="0">
        <f>IF(M46="", "", VLOOKUP(M46, NgachLuongData, 2, FALSE))</f>
      </c>
      <c r="AE46" s="0">
        <f>IF(N46="", "", VLOOKUP(N46, BacLuongData, 2, FALSE))</f>
      </c>
      <c r="AF46" s="0">
        <f>IF(P46="", "", VLOOKUP(P46, DanhSachCodeId, 3, FALSE))</f>
      </c>
    </row>
    <row r="47">
      <c r="A47" s="0">
        <f>IF(B47="", "", VLOOKUP(B47, DanhSachCodeId, 3, FALSE))</f>
      </c>
      <c r="C47" s="0">
        <f>IF(B47="", "", VLOOKUP(B47, DanhSachNhanVien, 2, FALSE))</f>
      </c>
      <c r="Q47" s="0">
        <f>IF(P47="", "", VLOOKUP(P47, DanhSachNhanVien, 2, FALSE))</f>
      </c>
      <c r="Z47" s="0">
        <f>IF(D47="", "", VLOOKUP(D47, DanhSachLoaiQuyetDinhRange, 2, FALSE))</f>
      </c>
      <c r="AA47" s="0">
        <f>IF(I47="", "", VLOOKUP(I47, DanhSachPhongBanRange, 2, FALSE))</f>
      </c>
      <c r="AB47" s="0">
        <f>IF(J47="", "", VLOOKUP(J47, DanhSachChucDanhRange, 2, FALSE))</f>
      </c>
      <c r="AC47" s="0">
        <f>IF(L47="", "", VLOOKUP(L47, ThangLuongData, 2, FALSE))</f>
      </c>
      <c r="AD47" s="0">
        <f>IF(M47="", "", VLOOKUP(M47, NgachLuongData, 2, FALSE))</f>
      </c>
      <c r="AE47" s="0">
        <f>IF(N47="", "", VLOOKUP(N47, BacLuongData, 2, FALSE))</f>
      </c>
      <c r="AF47" s="0">
        <f>IF(P47="", "", VLOOKUP(P47, DanhSachCodeId, 3, FALSE))</f>
      </c>
    </row>
    <row r="48">
      <c r="A48" s="0">
        <f>IF(B48="", "", VLOOKUP(B48, DanhSachCodeId, 3, FALSE))</f>
      </c>
      <c r="C48" s="0">
        <f>IF(B48="", "", VLOOKUP(B48, DanhSachNhanVien, 2, FALSE))</f>
      </c>
      <c r="Q48" s="0">
        <f>IF(P48="", "", VLOOKUP(P48, DanhSachNhanVien, 2, FALSE))</f>
      </c>
      <c r="Z48" s="0">
        <f>IF(D48="", "", VLOOKUP(D48, DanhSachLoaiQuyetDinhRange, 2, FALSE))</f>
      </c>
      <c r="AA48" s="0">
        <f>IF(I48="", "", VLOOKUP(I48, DanhSachPhongBanRange, 2, FALSE))</f>
      </c>
      <c r="AB48" s="0">
        <f>IF(J48="", "", VLOOKUP(J48, DanhSachChucDanhRange, 2, FALSE))</f>
      </c>
      <c r="AC48" s="0">
        <f>IF(L48="", "", VLOOKUP(L48, ThangLuongData, 2, FALSE))</f>
      </c>
      <c r="AD48" s="0">
        <f>IF(M48="", "", VLOOKUP(M48, NgachLuongData, 2, FALSE))</f>
      </c>
      <c r="AE48" s="0">
        <f>IF(N48="", "", VLOOKUP(N48, BacLuongData, 2, FALSE))</f>
      </c>
      <c r="AF48" s="0">
        <f>IF(P48="", "", VLOOKUP(P48, DanhSachCodeId, 3, FALSE))</f>
      </c>
    </row>
    <row r="49">
      <c r="A49" s="0">
        <f>IF(B49="", "", VLOOKUP(B49, DanhSachCodeId, 3, FALSE))</f>
      </c>
      <c r="C49" s="0">
        <f>IF(B49="", "", VLOOKUP(B49, DanhSachNhanVien, 2, FALSE))</f>
      </c>
      <c r="Q49" s="0">
        <f>IF(P49="", "", VLOOKUP(P49, DanhSachNhanVien, 2, FALSE))</f>
      </c>
      <c r="Z49" s="0">
        <f>IF(D49="", "", VLOOKUP(D49, DanhSachLoaiQuyetDinhRange, 2, FALSE))</f>
      </c>
      <c r="AA49" s="0">
        <f>IF(I49="", "", VLOOKUP(I49, DanhSachPhongBanRange, 2, FALSE))</f>
      </c>
      <c r="AB49" s="0">
        <f>IF(J49="", "", VLOOKUP(J49, DanhSachChucDanhRange, 2, FALSE))</f>
      </c>
      <c r="AC49" s="0">
        <f>IF(L49="", "", VLOOKUP(L49, ThangLuongData, 2, FALSE))</f>
      </c>
      <c r="AD49" s="0">
        <f>IF(M49="", "", VLOOKUP(M49, NgachLuongData, 2, FALSE))</f>
      </c>
      <c r="AE49" s="0">
        <f>IF(N49="", "", VLOOKUP(N49, BacLuongData, 2, FALSE))</f>
      </c>
      <c r="AF49" s="0">
        <f>IF(P49="", "", VLOOKUP(P49, DanhSachCodeId, 3, FALSE))</f>
      </c>
    </row>
    <row r="50">
      <c r="A50" s="0">
        <f>IF(B50="", "", VLOOKUP(B50, DanhSachCodeId, 3, FALSE))</f>
      </c>
      <c r="C50" s="0">
        <f>IF(B50="", "", VLOOKUP(B50, DanhSachNhanVien, 2, FALSE))</f>
      </c>
      <c r="Q50" s="0">
        <f>IF(P50="", "", VLOOKUP(P50, DanhSachNhanVien, 2, FALSE))</f>
      </c>
      <c r="Z50" s="0">
        <f>IF(D50="", "", VLOOKUP(D50, DanhSachLoaiQuyetDinhRange, 2, FALSE))</f>
      </c>
      <c r="AA50" s="0">
        <f>IF(I50="", "", VLOOKUP(I50, DanhSachPhongBanRange, 2, FALSE))</f>
      </c>
      <c r="AB50" s="0">
        <f>IF(J50="", "", VLOOKUP(J50, DanhSachChucDanhRange, 2, FALSE))</f>
      </c>
      <c r="AC50" s="0">
        <f>IF(L50="", "", VLOOKUP(L50, ThangLuongData, 2, FALSE))</f>
      </c>
      <c r="AD50" s="0">
        <f>IF(M50="", "", VLOOKUP(M50, NgachLuongData, 2, FALSE))</f>
      </c>
      <c r="AE50" s="0">
        <f>IF(N50="", "", VLOOKUP(N50, BacLuongData, 2, FALSE))</f>
      </c>
      <c r="AF50" s="0">
        <f>IF(P50="", "", VLOOKUP(P50, DanhSachCodeId, 3, FALSE))</f>
      </c>
    </row>
    <row r="51">
      <c r="A51" s="0">
        <f>IF(B51="", "", VLOOKUP(B51, DanhSachCodeId, 3, FALSE))</f>
      </c>
      <c r="C51" s="0">
        <f>IF(B51="", "", VLOOKUP(B51, DanhSachNhanVien, 2, FALSE))</f>
      </c>
      <c r="Q51" s="0">
        <f>IF(P51="", "", VLOOKUP(P51, DanhSachNhanVien, 2, FALSE))</f>
      </c>
      <c r="Z51" s="0">
        <f>IF(D51="", "", VLOOKUP(D51, DanhSachLoaiQuyetDinhRange, 2, FALSE))</f>
      </c>
      <c r="AA51" s="0">
        <f>IF(I51="", "", VLOOKUP(I51, DanhSachPhongBanRange, 2, FALSE))</f>
      </c>
      <c r="AB51" s="0">
        <f>IF(J51="", "", VLOOKUP(J51, DanhSachChucDanhRange, 2, FALSE))</f>
      </c>
      <c r="AC51" s="0">
        <f>IF(L51="", "", VLOOKUP(L51, ThangLuongData, 2, FALSE))</f>
      </c>
      <c r="AD51" s="0">
        <f>IF(M51="", "", VLOOKUP(M51, NgachLuongData, 2, FALSE))</f>
      </c>
      <c r="AE51" s="0">
        <f>IF(N51="", "", VLOOKUP(N51, BacLuongData, 2, FALSE))</f>
      </c>
      <c r="AF51" s="0">
        <f>IF(P51="", "", VLOOKUP(P51, DanhSachCodeId, 3, FALSE))</f>
      </c>
    </row>
    <row r="52">
      <c r="A52" s="0">
        <f>IF(B52="", "", VLOOKUP(B52, DanhSachCodeId, 3, FALSE))</f>
      </c>
      <c r="C52" s="0">
        <f>IF(B52="", "", VLOOKUP(B52, DanhSachNhanVien, 2, FALSE))</f>
      </c>
      <c r="Q52" s="0">
        <f>IF(P52="", "", VLOOKUP(P52, DanhSachNhanVien, 2, FALSE))</f>
      </c>
      <c r="Z52" s="0">
        <f>IF(D52="", "", VLOOKUP(D52, DanhSachLoaiQuyetDinhRange, 2, FALSE))</f>
      </c>
      <c r="AA52" s="0">
        <f>IF(I52="", "", VLOOKUP(I52, DanhSachPhongBanRange, 2, FALSE))</f>
      </c>
      <c r="AB52" s="0">
        <f>IF(J52="", "", VLOOKUP(J52, DanhSachChucDanhRange, 2, FALSE))</f>
      </c>
      <c r="AC52" s="0">
        <f>IF(L52="", "", VLOOKUP(L52, ThangLuongData, 2, FALSE))</f>
      </c>
      <c r="AD52" s="0">
        <f>IF(M52="", "", VLOOKUP(M52, NgachLuongData, 2, FALSE))</f>
      </c>
      <c r="AE52" s="0">
        <f>IF(N52="", "", VLOOKUP(N52, BacLuongData, 2, FALSE))</f>
      </c>
      <c r="AF52" s="0">
        <f>IF(P52="", "", VLOOKUP(P52, DanhSachCodeId, 3, FALSE))</f>
      </c>
    </row>
    <row r="53">
      <c r="A53" s="0">
        <f>IF(B53="", "", VLOOKUP(B53, DanhSachCodeId, 3, FALSE))</f>
      </c>
      <c r="C53" s="0">
        <f>IF(B53="", "", VLOOKUP(B53, DanhSachNhanVien, 2, FALSE))</f>
      </c>
      <c r="Q53" s="0">
        <f>IF(P53="", "", VLOOKUP(P53, DanhSachNhanVien, 2, FALSE))</f>
      </c>
      <c r="Z53" s="0">
        <f>IF(D53="", "", VLOOKUP(D53, DanhSachLoaiQuyetDinhRange, 2, FALSE))</f>
      </c>
      <c r="AA53" s="0">
        <f>IF(I53="", "", VLOOKUP(I53, DanhSachPhongBanRange, 2, FALSE))</f>
      </c>
      <c r="AB53" s="0">
        <f>IF(J53="", "", VLOOKUP(J53, DanhSachChucDanhRange, 2, FALSE))</f>
      </c>
      <c r="AC53" s="0">
        <f>IF(L53="", "", VLOOKUP(L53, ThangLuongData, 2, FALSE))</f>
      </c>
      <c r="AD53" s="0">
        <f>IF(M53="", "", VLOOKUP(M53, NgachLuongData, 2, FALSE))</f>
      </c>
      <c r="AE53" s="0">
        <f>IF(N53="", "", VLOOKUP(N53, BacLuongData, 2, FALSE))</f>
      </c>
      <c r="AF53" s="0">
        <f>IF(P53="", "", VLOOKUP(P53, DanhSachCodeId, 3, FALSE))</f>
      </c>
    </row>
    <row r="54">
      <c r="A54" s="0">
        <f>IF(B54="", "", VLOOKUP(B54, DanhSachCodeId, 3, FALSE))</f>
      </c>
      <c r="C54" s="0">
        <f>IF(B54="", "", VLOOKUP(B54, DanhSachNhanVien, 2, FALSE))</f>
      </c>
      <c r="Q54" s="0">
        <f>IF(P54="", "", VLOOKUP(P54, DanhSachNhanVien, 2, FALSE))</f>
      </c>
      <c r="Z54" s="0">
        <f>IF(D54="", "", VLOOKUP(D54, DanhSachLoaiQuyetDinhRange, 2, FALSE))</f>
      </c>
      <c r="AA54" s="0">
        <f>IF(I54="", "", VLOOKUP(I54, DanhSachPhongBanRange, 2, FALSE))</f>
      </c>
      <c r="AB54" s="0">
        <f>IF(J54="", "", VLOOKUP(J54, DanhSachChucDanhRange, 2, FALSE))</f>
      </c>
      <c r="AC54" s="0">
        <f>IF(L54="", "", VLOOKUP(L54, ThangLuongData, 2, FALSE))</f>
      </c>
      <c r="AD54" s="0">
        <f>IF(M54="", "", VLOOKUP(M54, NgachLuongData, 2, FALSE))</f>
      </c>
      <c r="AE54" s="0">
        <f>IF(N54="", "", VLOOKUP(N54, BacLuongData, 2, FALSE))</f>
      </c>
      <c r="AF54" s="0">
        <f>IF(P54="", "", VLOOKUP(P54, DanhSachCodeId, 3, FALSE))</f>
      </c>
    </row>
    <row r="55">
      <c r="A55" s="0">
        <f>IF(B55="", "", VLOOKUP(B55, DanhSachCodeId, 3, FALSE))</f>
      </c>
      <c r="C55" s="0">
        <f>IF(B55="", "", VLOOKUP(B55, DanhSachNhanVien, 2, FALSE))</f>
      </c>
      <c r="Q55" s="0">
        <f>IF(P55="", "", VLOOKUP(P55, DanhSachNhanVien, 2, FALSE))</f>
      </c>
      <c r="Z55" s="0">
        <f>IF(D55="", "", VLOOKUP(D55, DanhSachLoaiQuyetDinhRange, 2, FALSE))</f>
      </c>
      <c r="AA55" s="0">
        <f>IF(I55="", "", VLOOKUP(I55, DanhSachPhongBanRange, 2, FALSE))</f>
      </c>
      <c r="AB55" s="0">
        <f>IF(J55="", "", VLOOKUP(J55, DanhSachChucDanhRange, 2, FALSE))</f>
      </c>
      <c r="AC55" s="0">
        <f>IF(L55="", "", VLOOKUP(L55, ThangLuongData, 2, FALSE))</f>
      </c>
      <c r="AD55" s="0">
        <f>IF(M55="", "", VLOOKUP(M55, NgachLuongData, 2, FALSE))</f>
      </c>
      <c r="AE55" s="0">
        <f>IF(N55="", "", VLOOKUP(N55, BacLuongData, 2, FALSE))</f>
      </c>
      <c r="AF55" s="0">
        <f>IF(P55="", "", VLOOKUP(P55, DanhSachCodeId, 3, FALSE))</f>
      </c>
    </row>
    <row r="56">
      <c r="A56" s="0">
        <f>IF(B56="", "", VLOOKUP(B56, DanhSachCodeId, 3, FALSE))</f>
      </c>
      <c r="C56" s="0">
        <f>IF(B56="", "", VLOOKUP(B56, DanhSachNhanVien, 2, FALSE))</f>
      </c>
      <c r="Q56" s="0">
        <f>IF(P56="", "", VLOOKUP(P56, DanhSachNhanVien, 2, FALSE))</f>
      </c>
      <c r="Z56" s="0">
        <f>IF(D56="", "", VLOOKUP(D56, DanhSachLoaiQuyetDinhRange, 2, FALSE))</f>
      </c>
      <c r="AA56" s="0">
        <f>IF(I56="", "", VLOOKUP(I56, DanhSachPhongBanRange, 2, FALSE))</f>
      </c>
      <c r="AB56" s="0">
        <f>IF(J56="", "", VLOOKUP(J56, DanhSachChucDanhRange, 2, FALSE))</f>
      </c>
      <c r="AC56" s="0">
        <f>IF(L56="", "", VLOOKUP(L56, ThangLuongData, 2, FALSE))</f>
      </c>
      <c r="AD56" s="0">
        <f>IF(M56="", "", VLOOKUP(M56, NgachLuongData, 2, FALSE))</f>
      </c>
      <c r="AE56" s="0">
        <f>IF(N56="", "", VLOOKUP(N56, BacLuongData, 2, FALSE))</f>
      </c>
      <c r="AF56" s="0">
        <f>IF(P56="", "", VLOOKUP(P56, DanhSachCodeId, 3, FALSE))</f>
      </c>
    </row>
    <row r="57">
      <c r="A57" s="0">
        <f>IF(B57="", "", VLOOKUP(B57, DanhSachCodeId, 3, FALSE))</f>
      </c>
      <c r="C57" s="0">
        <f>IF(B57="", "", VLOOKUP(B57, DanhSachNhanVien, 2, FALSE))</f>
      </c>
      <c r="Q57" s="0">
        <f>IF(P57="", "", VLOOKUP(P57, DanhSachNhanVien, 2, FALSE))</f>
      </c>
      <c r="Z57" s="0">
        <f>IF(D57="", "", VLOOKUP(D57, DanhSachLoaiQuyetDinhRange, 2, FALSE))</f>
      </c>
      <c r="AA57" s="0">
        <f>IF(I57="", "", VLOOKUP(I57, DanhSachPhongBanRange, 2, FALSE))</f>
      </c>
      <c r="AB57" s="0">
        <f>IF(J57="", "", VLOOKUP(J57, DanhSachChucDanhRange, 2, FALSE))</f>
      </c>
      <c r="AC57" s="0">
        <f>IF(L57="", "", VLOOKUP(L57, ThangLuongData, 2, FALSE))</f>
      </c>
      <c r="AD57" s="0">
        <f>IF(M57="", "", VLOOKUP(M57, NgachLuongData, 2, FALSE))</f>
      </c>
      <c r="AE57" s="0">
        <f>IF(N57="", "", VLOOKUP(N57, BacLuongData, 2, FALSE))</f>
      </c>
      <c r="AF57" s="0">
        <f>IF(P57="", "", VLOOKUP(P57, DanhSachCodeId, 3, FALSE))</f>
      </c>
    </row>
    <row r="58">
      <c r="A58" s="0">
        <f>IF(B58="", "", VLOOKUP(B58, DanhSachCodeId, 3, FALSE))</f>
      </c>
      <c r="C58" s="0">
        <f>IF(B58="", "", VLOOKUP(B58, DanhSachNhanVien, 2, FALSE))</f>
      </c>
      <c r="Q58" s="0">
        <f>IF(P58="", "", VLOOKUP(P58, DanhSachNhanVien, 2, FALSE))</f>
      </c>
      <c r="Z58" s="0">
        <f>IF(D58="", "", VLOOKUP(D58, DanhSachLoaiQuyetDinhRange, 2, FALSE))</f>
      </c>
      <c r="AA58" s="0">
        <f>IF(I58="", "", VLOOKUP(I58, DanhSachPhongBanRange, 2, FALSE))</f>
      </c>
      <c r="AB58" s="0">
        <f>IF(J58="", "", VLOOKUP(J58, DanhSachChucDanhRange, 2, FALSE))</f>
      </c>
      <c r="AC58" s="0">
        <f>IF(L58="", "", VLOOKUP(L58, ThangLuongData, 2, FALSE))</f>
      </c>
      <c r="AD58" s="0">
        <f>IF(M58="", "", VLOOKUP(M58, NgachLuongData, 2, FALSE))</f>
      </c>
      <c r="AE58" s="0">
        <f>IF(N58="", "", VLOOKUP(N58, BacLuongData, 2, FALSE))</f>
      </c>
      <c r="AF58" s="0">
        <f>IF(P58="", "", VLOOKUP(P58, DanhSachCodeId, 3, FALSE))</f>
      </c>
    </row>
    <row r="59">
      <c r="A59" s="0">
        <f>IF(B59="", "", VLOOKUP(B59, DanhSachCodeId, 3, FALSE))</f>
      </c>
      <c r="C59" s="0">
        <f>IF(B59="", "", VLOOKUP(B59, DanhSachNhanVien, 2, FALSE))</f>
      </c>
      <c r="Q59" s="0">
        <f>IF(P59="", "", VLOOKUP(P59, DanhSachNhanVien, 2, FALSE))</f>
      </c>
      <c r="Z59" s="0">
        <f>IF(D59="", "", VLOOKUP(D59, DanhSachLoaiQuyetDinhRange, 2, FALSE))</f>
      </c>
      <c r="AA59" s="0">
        <f>IF(I59="", "", VLOOKUP(I59, DanhSachPhongBanRange, 2, FALSE))</f>
      </c>
      <c r="AB59" s="0">
        <f>IF(J59="", "", VLOOKUP(J59, DanhSachChucDanhRange, 2, FALSE))</f>
      </c>
      <c r="AC59" s="0">
        <f>IF(L59="", "", VLOOKUP(L59, ThangLuongData, 2, FALSE))</f>
      </c>
      <c r="AD59" s="0">
        <f>IF(M59="", "", VLOOKUP(M59, NgachLuongData, 2, FALSE))</f>
      </c>
      <c r="AE59" s="0">
        <f>IF(N59="", "", VLOOKUP(N59, BacLuongData, 2, FALSE))</f>
      </c>
      <c r="AF59" s="0">
        <f>IF(P59="", "", VLOOKUP(P59, DanhSachCodeId, 3, FALSE))</f>
      </c>
    </row>
    <row r="60">
      <c r="A60" s="0">
        <f>IF(B60="", "", VLOOKUP(B60, DanhSachCodeId, 3, FALSE))</f>
      </c>
      <c r="C60" s="0">
        <f>IF(B60="", "", VLOOKUP(B60, DanhSachNhanVien, 2, FALSE))</f>
      </c>
      <c r="Q60" s="0">
        <f>IF(P60="", "", VLOOKUP(P60, DanhSachNhanVien, 2, FALSE))</f>
      </c>
      <c r="Z60" s="0">
        <f>IF(D60="", "", VLOOKUP(D60, DanhSachLoaiQuyetDinhRange, 2, FALSE))</f>
      </c>
      <c r="AA60" s="0">
        <f>IF(I60="", "", VLOOKUP(I60, DanhSachPhongBanRange, 2, FALSE))</f>
      </c>
      <c r="AB60" s="0">
        <f>IF(J60="", "", VLOOKUP(J60, DanhSachChucDanhRange, 2, FALSE))</f>
      </c>
      <c r="AC60" s="0">
        <f>IF(L60="", "", VLOOKUP(L60, ThangLuongData, 2, FALSE))</f>
      </c>
      <c r="AD60" s="0">
        <f>IF(M60="", "", VLOOKUP(M60, NgachLuongData, 2, FALSE))</f>
      </c>
      <c r="AE60" s="0">
        <f>IF(N60="", "", VLOOKUP(N60, BacLuongData, 2, FALSE))</f>
      </c>
      <c r="AF60" s="0">
        <f>IF(P60="", "", VLOOKUP(P60, DanhSachCodeId, 3, FALSE))</f>
      </c>
    </row>
    <row r="61">
      <c r="A61" s="0">
        <f>IF(B61="", "", VLOOKUP(B61, DanhSachCodeId, 3, FALSE))</f>
      </c>
      <c r="C61" s="0">
        <f>IF(B61="", "", VLOOKUP(B61, DanhSachNhanVien, 2, FALSE))</f>
      </c>
      <c r="Q61" s="0">
        <f>IF(P61="", "", VLOOKUP(P61, DanhSachNhanVien, 2, FALSE))</f>
      </c>
      <c r="Z61" s="0">
        <f>IF(D61="", "", VLOOKUP(D61, DanhSachLoaiQuyetDinhRange, 2, FALSE))</f>
      </c>
      <c r="AA61" s="0">
        <f>IF(I61="", "", VLOOKUP(I61, DanhSachPhongBanRange, 2, FALSE))</f>
      </c>
      <c r="AB61" s="0">
        <f>IF(J61="", "", VLOOKUP(J61, DanhSachChucDanhRange, 2, FALSE))</f>
      </c>
      <c r="AC61" s="0">
        <f>IF(L61="", "", VLOOKUP(L61, ThangLuongData, 2, FALSE))</f>
      </c>
      <c r="AD61" s="0">
        <f>IF(M61="", "", VLOOKUP(M61, NgachLuongData, 2, FALSE))</f>
      </c>
      <c r="AE61" s="0">
        <f>IF(N61="", "", VLOOKUP(N61, BacLuongData, 2, FALSE))</f>
      </c>
      <c r="AF61" s="0">
        <f>IF(P61="", "", VLOOKUP(P61, DanhSachCodeId, 3, FALSE))</f>
      </c>
    </row>
    <row r="62">
      <c r="A62" s="0">
        <f>IF(B62="", "", VLOOKUP(B62, DanhSachCodeId, 3, FALSE))</f>
      </c>
      <c r="C62" s="0">
        <f>IF(B62="", "", VLOOKUP(B62, DanhSachNhanVien, 2, FALSE))</f>
      </c>
      <c r="Q62" s="0">
        <f>IF(P62="", "", VLOOKUP(P62, DanhSachNhanVien, 2, FALSE))</f>
      </c>
      <c r="Z62" s="0">
        <f>IF(D62="", "", VLOOKUP(D62, DanhSachLoaiQuyetDinhRange, 2, FALSE))</f>
      </c>
      <c r="AA62" s="0">
        <f>IF(I62="", "", VLOOKUP(I62, DanhSachPhongBanRange, 2, FALSE))</f>
      </c>
      <c r="AB62" s="0">
        <f>IF(J62="", "", VLOOKUP(J62, DanhSachChucDanhRange, 2, FALSE))</f>
      </c>
      <c r="AC62" s="0">
        <f>IF(L62="", "", VLOOKUP(L62, ThangLuongData, 2, FALSE))</f>
      </c>
      <c r="AD62" s="0">
        <f>IF(M62="", "", VLOOKUP(M62, NgachLuongData, 2, FALSE))</f>
      </c>
      <c r="AE62" s="0">
        <f>IF(N62="", "", VLOOKUP(N62, BacLuongData, 2, FALSE))</f>
      </c>
      <c r="AF62" s="0">
        <f>IF(P62="", "", VLOOKUP(P62, DanhSachCodeId, 3, FALSE))</f>
      </c>
    </row>
    <row r="63">
      <c r="A63" s="0">
        <f>IF(B63="", "", VLOOKUP(B63, DanhSachCodeId, 3, FALSE))</f>
      </c>
      <c r="C63" s="0">
        <f>IF(B63="", "", VLOOKUP(B63, DanhSachNhanVien, 2, FALSE))</f>
      </c>
      <c r="Q63" s="0">
        <f>IF(P63="", "", VLOOKUP(P63, DanhSachNhanVien, 2, FALSE))</f>
      </c>
      <c r="Z63" s="0">
        <f>IF(D63="", "", VLOOKUP(D63, DanhSachLoaiQuyetDinhRange, 2, FALSE))</f>
      </c>
      <c r="AA63" s="0">
        <f>IF(I63="", "", VLOOKUP(I63, DanhSachPhongBanRange, 2, FALSE))</f>
      </c>
      <c r="AB63" s="0">
        <f>IF(J63="", "", VLOOKUP(J63, DanhSachChucDanhRange, 2, FALSE))</f>
      </c>
      <c r="AC63" s="0">
        <f>IF(L63="", "", VLOOKUP(L63, ThangLuongData, 2, FALSE))</f>
      </c>
      <c r="AD63" s="0">
        <f>IF(M63="", "", VLOOKUP(M63, NgachLuongData, 2, FALSE))</f>
      </c>
      <c r="AE63" s="0">
        <f>IF(N63="", "", VLOOKUP(N63, BacLuongData, 2, FALSE))</f>
      </c>
      <c r="AF63" s="0">
        <f>IF(P63="", "", VLOOKUP(P63, DanhSachCodeId, 3, FALSE))</f>
      </c>
    </row>
    <row r="64">
      <c r="A64" s="0">
        <f>IF(B64="", "", VLOOKUP(B64, DanhSachCodeId, 3, FALSE))</f>
      </c>
      <c r="C64" s="0">
        <f>IF(B64="", "", VLOOKUP(B64, DanhSachNhanVien, 2, FALSE))</f>
      </c>
      <c r="Q64" s="0">
        <f>IF(P64="", "", VLOOKUP(P64, DanhSachNhanVien, 2, FALSE))</f>
      </c>
      <c r="Z64" s="0">
        <f>IF(D64="", "", VLOOKUP(D64, DanhSachLoaiQuyetDinhRange, 2, FALSE))</f>
      </c>
      <c r="AA64" s="0">
        <f>IF(I64="", "", VLOOKUP(I64, DanhSachPhongBanRange, 2, FALSE))</f>
      </c>
      <c r="AB64" s="0">
        <f>IF(J64="", "", VLOOKUP(J64, DanhSachChucDanhRange, 2, FALSE))</f>
      </c>
      <c r="AC64" s="0">
        <f>IF(L64="", "", VLOOKUP(L64, ThangLuongData, 2, FALSE))</f>
      </c>
      <c r="AD64" s="0">
        <f>IF(M64="", "", VLOOKUP(M64, NgachLuongData, 2, FALSE))</f>
      </c>
      <c r="AE64" s="0">
        <f>IF(N64="", "", VLOOKUP(N64, BacLuongData, 2, FALSE))</f>
      </c>
      <c r="AF64" s="0">
        <f>IF(P64="", "", VLOOKUP(P64, DanhSachCodeId, 3, FALSE))</f>
      </c>
    </row>
    <row r="65">
      <c r="A65" s="0">
        <f>IF(B65="", "", VLOOKUP(B65, DanhSachCodeId, 3, FALSE))</f>
      </c>
      <c r="C65" s="0">
        <f>IF(B65="", "", VLOOKUP(B65, DanhSachNhanVien, 2, FALSE))</f>
      </c>
      <c r="Q65" s="0">
        <f>IF(P65="", "", VLOOKUP(P65, DanhSachNhanVien, 2, FALSE))</f>
      </c>
      <c r="Z65" s="0">
        <f>IF(D65="", "", VLOOKUP(D65, DanhSachLoaiQuyetDinhRange, 2, FALSE))</f>
      </c>
      <c r="AA65" s="0">
        <f>IF(I65="", "", VLOOKUP(I65, DanhSachPhongBanRange, 2, FALSE))</f>
      </c>
      <c r="AB65" s="0">
        <f>IF(J65="", "", VLOOKUP(J65, DanhSachChucDanhRange, 2, FALSE))</f>
      </c>
      <c r="AC65" s="0">
        <f>IF(L65="", "", VLOOKUP(L65, ThangLuongData, 2, FALSE))</f>
      </c>
      <c r="AD65" s="0">
        <f>IF(M65="", "", VLOOKUP(M65, NgachLuongData, 2, FALSE))</f>
      </c>
      <c r="AE65" s="0">
        <f>IF(N65="", "", VLOOKUP(N65, BacLuongData, 2, FALSE))</f>
      </c>
      <c r="AF65" s="0">
        <f>IF(P65="", "", VLOOKUP(P65, DanhSachCodeId, 3, FALSE))</f>
      </c>
    </row>
    <row r="66">
      <c r="A66" s="0">
        <f>IF(B66="", "", VLOOKUP(B66, DanhSachCodeId, 3, FALSE))</f>
      </c>
      <c r="C66" s="0">
        <f>IF(B66="", "", VLOOKUP(B66, DanhSachNhanVien, 2, FALSE))</f>
      </c>
      <c r="Q66" s="0">
        <f>IF(P66="", "", VLOOKUP(P66, DanhSachNhanVien, 2, FALSE))</f>
      </c>
      <c r="Z66" s="0">
        <f>IF(D66="", "", VLOOKUP(D66, DanhSachLoaiQuyetDinhRange, 2, FALSE))</f>
      </c>
      <c r="AA66" s="0">
        <f>IF(I66="", "", VLOOKUP(I66, DanhSachPhongBanRange, 2, FALSE))</f>
      </c>
      <c r="AB66" s="0">
        <f>IF(J66="", "", VLOOKUP(J66, DanhSachChucDanhRange, 2, FALSE))</f>
      </c>
      <c r="AC66" s="0">
        <f>IF(L66="", "", VLOOKUP(L66, ThangLuongData, 2, FALSE))</f>
      </c>
      <c r="AD66" s="0">
        <f>IF(M66="", "", VLOOKUP(M66, NgachLuongData, 2, FALSE))</f>
      </c>
      <c r="AE66" s="0">
        <f>IF(N66="", "", VLOOKUP(N66, BacLuongData, 2, FALSE))</f>
      </c>
      <c r="AF66" s="0">
        <f>IF(P66="", "", VLOOKUP(P66, DanhSachCodeId, 3, FALSE))</f>
      </c>
    </row>
    <row r="67">
      <c r="A67" s="0">
        <f>IF(B67="", "", VLOOKUP(B67, DanhSachCodeId, 3, FALSE))</f>
      </c>
      <c r="C67" s="0">
        <f>IF(B67="", "", VLOOKUP(B67, DanhSachNhanVien, 2, FALSE))</f>
      </c>
      <c r="Q67" s="0">
        <f>IF(P67="", "", VLOOKUP(P67, DanhSachNhanVien, 2, FALSE))</f>
      </c>
      <c r="Z67" s="0">
        <f>IF(D67="", "", VLOOKUP(D67, DanhSachLoaiQuyetDinhRange, 2, FALSE))</f>
      </c>
      <c r="AA67" s="0">
        <f>IF(I67="", "", VLOOKUP(I67, DanhSachPhongBanRange, 2, FALSE))</f>
      </c>
      <c r="AB67" s="0">
        <f>IF(J67="", "", VLOOKUP(J67, DanhSachChucDanhRange, 2, FALSE))</f>
      </c>
      <c r="AC67" s="0">
        <f>IF(L67="", "", VLOOKUP(L67, ThangLuongData, 2, FALSE))</f>
      </c>
      <c r="AD67" s="0">
        <f>IF(M67="", "", VLOOKUP(M67, NgachLuongData, 2, FALSE))</f>
      </c>
      <c r="AE67" s="0">
        <f>IF(N67="", "", VLOOKUP(N67, BacLuongData, 2, FALSE))</f>
      </c>
      <c r="AF67" s="0">
        <f>IF(P67="", "", VLOOKUP(P67, DanhSachCodeId, 3, FALSE))</f>
      </c>
    </row>
    <row r="68">
      <c r="A68" s="0">
        <f>IF(B68="", "", VLOOKUP(B68, DanhSachCodeId, 3, FALSE))</f>
      </c>
      <c r="C68" s="0">
        <f>IF(B68="", "", VLOOKUP(B68, DanhSachNhanVien, 2, FALSE))</f>
      </c>
      <c r="Q68" s="0">
        <f>IF(P68="", "", VLOOKUP(P68, DanhSachNhanVien, 2, FALSE))</f>
      </c>
      <c r="Z68" s="0">
        <f>IF(D68="", "", VLOOKUP(D68, DanhSachLoaiQuyetDinhRange, 2, FALSE))</f>
      </c>
      <c r="AA68" s="0">
        <f>IF(I68="", "", VLOOKUP(I68, DanhSachPhongBanRange, 2, FALSE))</f>
      </c>
      <c r="AB68" s="0">
        <f>IF(J68="", "", VLOOKUP(J68, DanhSachChucDanhRange, 2, FALSE))</f>
      </c>
      <c r="AC68" s="0">
        <f>IF(L68="", "", VLOOKUP(L68, ThangLuongData, 2, FALSE))</f>
      </c>
      <c r="AD68" s="0">
        <f>IF(M68="", "", VLOOKUP(M68, NgachLuongData, 2, FALSE))</f>
      </c>
      <c r="AE68" s="0">
        <f>IF(N68="", "", VLOOKUP(N68, BacLuongData, 2, FALSE))</f>
      </c>
      <c r="AF68" s="0">
        <f>IF(P68="", "", VLOOKUP(P68, DanhSachCodeId, 3, FALSE))</f>
      </c>
    </row>
    <row r="69">
      <c r="A69" s="0">
        <f>IF(B69="", "", VLOOKUP(B69, DanhSachCodeId, 3, FALSE))</f>
      </c>
      <c r="C69" s="0">
        <f>IF(B69="", "", VLOOKUP(B69, DanhSachNhanVien, 2, FALSE))</f>
      </c>
      <c r="Q69" s="0">
        <f>IF(P69="", "", VLOOKUP(P69, DanhSachNhanVien, 2, FALSE))</f>
      </c>
      <c r="Z69" s="0">
        <f>IF(D69="", "", VLOOKUP(D69, DanhSachLoaiQuyetDinhRange, 2, FALSE))</f>
      </c>
      <c r="AA69" s="0">
        <f>IF(I69="", "", VLOOKUP(I69, DanhSachPhongBanRange, 2, FALSE))</f>
      </c>
      <c r="AB69" s="0">
        <f>IF(J69="", "", VLOOKUP(J69, DanhSachChucDanhRange, 2, FALSE))</f>
      </c>
      <c r="AC69" s="0">
        <f>IF(L69="", "", VLOOKUP(L69, ThangLuongData, 2, FALSE))</f>
      </c>
      <c r="AD69" s="0">
        <f>IF(M69="", "", VLOOKUP(M69, NgachLuongData, 2, FALSE))</f>
      </c>
      <c r="AE69" s="0">
        <f>IF(N69="", "", VLOOKUP(N69, BacLuongData, 2, FALSE))</f>
      </c>
      <c r="AF69" s="0">
        <f>IF(P69="", "", VLOOKUP(P69, DanhSachCodeId, 3, FALSE))</f>
      </c>
    </row>
    <row r="70">
      <c r="A70" s="0">
        <f>IF(B70="", "", VLOOKUP(B70, DanhSachCodeId, 3, FALSE))</f>
      </c>
      <c r="C70" s="0">
        <f>IF(B70="", "", VLOOKUP(B70, DanhSachNhanVien, 2, FALSE))</f>
      </c>
      <c r="Q70" s="0">
        <f>IF(P70="", "", VLOOKUP(P70, DanhSachNhanVien, 2, FALSE))</f>
      </c>
      <c r="Z70" s="0">
        <f>IF(D70="", "", VLOOKUP(D70, DanhSachLoaiQuyetDinhRange, 2, FALSE))</f>
      </c>
      <c r="AA70" s="0">
        <f>IF(I70="", "", VLOOKUP(I70, DanhSachPhongBanRange, 2, FALSE))</f>
      </c>
      <c r="AB70" s="0">
        <f>IF(J70="", "", VLOOKUP(J70, DanhSachChucDanhRange, 2, FALSE))</f>
      </c>
      <c r="AC70" s="0">
        <f>IF(L70="", "", VLOOKUP(L70, ThangLuongData, 2, FALSE))</f>
      </c>
      <c r="AD70" s="0">
        <f>IF(M70="", "", VLOOKUP(M70, NgachLuongData, 2, FALSE))</f>
      </c>
      <c r="AE70" s="0">
        <f>IF(N70="", "", VLOOKUP(N70, BacLuongData, 2, FALSE))</f>
      </c>
      <c r="AF70" s="0">
        <f>IF(P70="", "", VLOOKUP(P70, DanhSachCodeId, 3, FALSE))</f>
      </c>
    </row>
    <row r="71">
      <c r="A71" s="0">
        <f>IF(B71="", "", VLOOKUP(B71, DanhSachCodeId, 3, FALSE))</f>
      </c>
      <c r="C71" s="0">
        <f>IF(B71="", "", VLOOKUP(B71, DanhSachNhanVien, 2, FALSE))</f>
      </c>
      <c r="Q71" s="0">
        <f>IF(P71="", "", VLOOKUP(P71, DanhSachNhanVien, 2, FALSE))</f>
      </c>
      <c r="Z71" s="0">
        <f>IF(D71="", "", VLOOKUP(D71, DanhSachLoaiQuyetDinhRange, 2, FALSE))</f>
      </c>
      <c r="AA71" s="0">
        <f>IF(I71="", "", VLOOKUP(I71, DanhSachPhongBanRange, 2, FALSE))</f>
      </c>
      <c r="AB71" s="0">
        <f>IF(J71="", "", VLOOKUP(J71, DanhSachChucDanhRange, 2, FALSE))</f>
      </c>
      <c r="AC71" s="0">
        <f>IF(L71="", "", VLOOKUP(L71, ThangLuongData, 2, FALSE))</f>
      </c>
      <c r="AD71" s="0">
        <f>IF(M71="", "", VLOOKUP(M71, NgachLuongData, 2, FALSE))</f>
      </c>
      <c r="AE71" s="0">
        <f>IF(N71="", "", VLOOKUP(N71, BacLuongData, 2, FALSE))</f>
      </c>
      <c r="AF71" s="0">
        <f>IF(P71="", "", VLOOKUP(P71, DanhSachCodeId, 3, FALSE))</f>
      </c>
    </row>
    <row r="72">
      <c r="A72" s="0">
        <f>IF(B72="", "", VLOOKUP(B72, DanhSachCodeId, 3, FALSE))</f>
      </c>
      <c r="C72" s="0">
        <f>IF(B72="", "", VLOOKUP(B72, DanhSachNhanVien, 2, FALSE))</f>
      </c>
      <c r="Q72" s="0">
        <f>IF(P72="", "", VLOOKUP(P72, DanhSachNhanVien, 2, FALSE))</f>
      </c>
      <c r="Z72" s="0">
        <f>IF(D72="", "", VLOOKUP(D72, DanhSachLoaiQuyetDinhRange, 2, FALSE))</f>
      </c>
      <c r="AA72" s="0">
        <f>IF(I72="", "", VLOOKUP(I72, DanhSachPhongBanRange, 2, FALSE))</f>
      </c>
      <c r="AB72" s="0">
        <f>IF(J72="", "", VLOOKUP(J72, DanhSachChucDanhRange, 2, FALSE))</f>
      </c>
      <c r="AC72" s="0">
        <f>IF(L72="", "", VLOOKUP(L72, ThangLuongData, 2, FALSE))</f>
      </c>
      <c r="AD72" s="0">
        <f>IF(M72="", "", VLOOKUP(M72, NgachLuongData, 2, FALSE))</f>
      </c>
      <c r="AE72" s="0">
        <f>IF(N72="", "", VLOOKUP(N72, BacLuongData, 2, FALSE))</f>
      </c>
      <c r="AF72" s="0">
        <f>IF(P72="", "", VLOOKUP(P72, DanhSachCodeId, 3, FALSE))</f>
      </c>
    </row>
    <row r="73">
      <c r="A73" s="0">
        <f>IF(B73="", "", VLOOKUP(B73, DanhSachCodeId, 3, FALSE))</f>
      </c>
      <c r="C73" s="0">
        <f>IF(B73="", "", VLOOKUP(B73, DanhSachNhanVien, 2, FALSE))</f>
      </c>
      <c r="Q73" s="0">
        <f>IF(P73="", "", VLOOKUP(P73, DanhSachNhanVien, 2, FALSE))</f>
      </c>
      <c r="Z73" s="0">
        <f>IF(D73="", "", VLOOKUP(D73, DanhSachLoaiQuyetDinhRange, 2, FALSE))</f>
      </c>
      <c r="AA73" s="0">
        <f>IF(I73="", "", VLOOKUP(I73, DanhSachPhongBanRange, 2, FALSE))</f>
      </c>
      <c r="AB73" s="0">
        <f>IF(J73="", "", VLOOKUP(J73, DanhSachChucDanhRange, 2, FALSE))</f>
      </c>
      <c r="AC73" s="0">
        <f>IF(L73="", "", VLOOKUP(L73, ThangLuongData, 2, FALSE))</f>
      </c>
      <c r="AD73" s="0">
        <f>IF(M73="", "", VLOOKUP(M73, NgachLuongData, 2, FALSE))</f>
      </c>
      <c r="AE73" s="0">
        <f>IF(N73="", "", VLOOKUP(N73, BacLuongData, 2, FALSE))</f>
      </c>
      <c r="AF73" s="0">
        <f>IF(P73="", "", VLOOKUP(P73, DanhSachCodeId, 3, FALSE))</f>
      </c>
    </row>
    <row r="74">
      <c r="A74" s="0">
        <f>IF(B74="", "", VLOOKUP(B74, DanhSachCodeId, 3, FALSE))</f>
      </c>
      <c r="C74" s="0">
        <f>IF(B74="", "", VLOOKUP(B74, DanhSachNhanVien, 2, FALSE))</f>
      </c>
      <c r="Q74" s="0">
        <f>IF(P74="", "", VLOOKUP(P74, DanhSachNhanVien, 2, FALSE))</f>
      </c>
      <c r="Z74" s="0">
        <f>IF(D74="", "", VLOOKUP(D74, DanhSachLoaiQuyetDinhRange, 2, FALSE))</f>
      </c>
      <c r="AA74" s="0">
        <f>IF(I74="", "", VLOOKUP(I74, DanhSachPhongBanRange, 2, FALSE))</f>
      </c>
      <c r="AB74" s="0">
        <f>IF(J74="", "", VLOOKUP(J74, DanhSachChucDanhRange, 2, FALSE))</f>
      </c>
      <c r="AC74" s="0">
        <f>IF(L74="", "", VLOOKUP(L74, ThangLuongData, 2, FALSE))</f>
      </c>
      <c r="AD74" s="0">
        <f>IF(M74="", "", VLOOKUP(M74, NgachLuongData, 2, FALSE))</f>
      </c>
      <c r="AE74" s="0">
        <f>IF(N74="", "", VLOOKUP(N74, BacLuongData, 2, FALSE))</f>
      </c>
      <c r="AF74" s="0">
        <f>IF(P74="", "", VLOOKUP(P74, DanhSachCodeId, 3, FALSE))</f>
      </c>
    </row>
    <row r="75">
      <c r="A75" s="0">
        <f>IF(B75="", "", VLOOKUP(B75, DanhSachCodeId, 3, FALSE))</f>
      </c>
      <c r="C75" s="0">
        <f>IF(B75="", "", VLOOKUP(B75, DanhSachNhanVien, 2, FALSE))</f>
      </c>
      <c r="Q75" s="0">
        <f>IF(P75="", "", VLOOKUP(P75, DanhSachNhanVien, 2, FALSE))</f>
      </c>
      <c r="Z75" s="0">
        <f>IF(D75="", "", VLOOKUP(D75, DanhSachLoaiQuyetDinhRange, 2, FALSE))</f>
      </c>
      <c r="AA75" s="0">
        <f>IF(I75="", "", VLOOKUP(I75, DanhSachPhongBanRange, 2, FALSE))</f>
      </c>
      <c r="AB75" s="0">
        <f>IF(J75="", "", VLOOKUP(J75, DanhSachChucDanhRange, 2, FALSE))</f>
      </c>
      <c r="AC75" s="0">
        <f>IF(L75="", "", VLOOKUP(L75, ThangLuongData, 2, FALSE))</f>
      </c>
      <c r="AD75" s="0">
        <f>IF(M75="", "", VLOOKUP(M75, NgachLuongData, 2, FALSE))</f>
      </c>
      <c r="AE75" s="0">
        <f>IF(N75="", "", VLOOKUP(N75, BacLuongData, 2, FALSE))</f>
      </c>
      <c r="AF75" s="0">
        <f>IF(P75="", "", VLOOKUP(P75, DanhSachCodeId, 3, FALSE))</f>
      </c>
    </row>
    <row r="76">
      <c r="A76" s="0">
        <f>IF(B76="", "", VLOOKUP(B76, DanhSachCodeId, 3, FALSE))</f>
      </c>
      <c r="C76" s="0">
        <f>IF(B76="", "", VLOOKUP(B76, DanhSachNhanVien, 2, FALSE))</f>
      </c>
      <c r="Q76" s="0">
        <f>IF(P76="", "", VLOOKUP(P76, DanhSachNhanVien, 2, FALSE))</f>
      </c>
      <c r="Z76" s="0">
        <f>IF(D76="", "", VLOOKUP(D76, DanhSachLoaiQuyetDinhRange, 2, FALSE))</f>
      </c>
      <c r="AA76" s="0">
        <f>IF(I76="", "", VLOOKUP(I76, DanhSachPhongBanRange, 2, FALSE))</f>
      </c>
      <c r="AB76" s="0">
        <f>IF(J76="", "", VLOOKUP(J76, DanhSachChucDanhRange, 2, FALSE))</f>
      </c>
      <c r="AC76" s="0">
        <f>IF(L76="", "", VLOOKUP(L76, ThangLuongData, 2, FALSE))</f>
      </c>
      <c r="AD76" s="0">
        <f>IF(M76="", "", VLOOKUP(M76, NgachLuongData, 2, FALSE))</f>
      </c>
      <c r="AE76" s="0">
        <f>IF(N76="", "", VLOOKUP(N76, BacLuongData, 2, FALSE))</f>
      </c>
      <c r="AF76" s="0">
        <f>IF(P76="", "", VLOOKUP(P76, DanhSachCodeId, 3, FALSE))</f>
      </c>
    </row>
    <row r="77">
      <c r="A77" s="0">
        <f>IF(B77="", "", VLOOKUP(B77, DanhSachCodeId, 3, FALSE))</f>
      </c>
      <c r="C77" s="0">
        <f>IF(B77="", "", VLOOKUP(B77, DanhSachNhanVien, 2, FALSE))</f>
      </c>
      <c r="Q77" s="0">
        <f>IF(P77="", "", VLOOKUP(P77, DanhSachNhanVien, 2, FALSE))</f>
      </c>
      <c r="Z77" s="0">
        <f>IF(D77="", "", VLOOKUP(D77, DanhSachLoaiQuyetDinhRange, 2, FALSE))</f>
      </c>
      <c r="AA77" s="0">
        <f>IF(I77="", "", VLOOKUP(I77, DanhSachPhongBanRange, 2, FALSE))</f>
      </c>
      <c r="AB77" s="0">
        <f>IF(J77="", "", VLOOKUP(J77, DanhSachChucDanhRange, 2, FALSE))</f>
      </c>
      <c r="AC77" s="0">
        <f>IF(L77="", "", VLOOKUP(L77, ThangLuongData, 2, FALSE))</f>
      </c>
      <c r="AD77" s="0">
        <f>IF(M77="", "", VLOOKUP(M77, NgachLuongData, 2, FALSE))</f>
      </c>
      <c r="AE77" s="0">
        <f>IF(N77="", "", VLOOKUP(N77, BacLuongData, 2, FALSE))</f>
      </c>
      <c r="AF77" s="0">
        <f>IF(P77="", "", VLOOKUP(P77, DanhSachCodeId, 3, FALSE))</f>
      </c>
    </row>
    <row r="78">
      <c r="A78" s="0">
        <f>IF(B78="", "", VLOOKUP(B78, DanhSachCodeId, 3, FALSE))</f>
      </c>
      <c r="C78" s="0">
        <f>IF(B78="", "", VLOOKUP(B78, DanhSachNhanVien, 2, FALSE))</f>
      </c>
      <c r="Q78" s="0">
        <f>IF(P78="", "", VLOOKUP(P78, DanhSachNhanVien, 2, FALSE))</f>
      </c>
      <c r="Z78" s="0">
        <f>IF(D78="", "", VLOOKUP(D78, DanhSachLoaiQuyetDinhRange, 2, FALSE))</f>
      </c>
      <c r="AA78" s="0">
        <f>IF(I78="", "", VLOOKUP(I78, DanhSachPhongBanRange, 2, FALSE))</f>
      </c>
      <c r="AB78" s="0">
        <f>IF(J78="", "", VLOOKUP(J78, DanhSachChucDanhRange, 2, FALSE))</f>
      </c>
      <c r="AC78" s="0">
        <f>IF(L78="", "", VLOOKUP(L78, ThangLuongData, 2, FALSE))</f>
      </c>
      <c r="AD78" s="0">
        <f>IF(M78="", "", VLOOKUP(M78, NgachLuongData, 2, FALSE))</f>
      </c>
      <c r="AE78" s="0">
        <f>IF(N78="", "", VLOOKUP(N78, BacLuongData, 2, FALSE))</f>
      </c>
      <c r="AF78" s="0">
        <f>IF(P78="", "", VLOOKUP(P78, DanhSachCodeId, 3, FALSE))</f>
      </c>
    </row>
    <row r="79">
      <c r="A79" s="0">
        <f>IF(B79="", "", VLOOKUP(B79, DanhSachCodeId, 3, FALSE))</f>
      </c>
      <c r="C79" s="0">
        <f>IF(B79="", "", VLOOKUP(B79, DanhSachNhanVien, 2, FALSE))</f>
      </c>
      <c r="Q79" s="0">
        <f>IF(P79="", "", VLOOKUP(P79, DanhSachNhanVien, 2, FALSE))</f>
      </c>
      <c r="Z79" s="0">
        <f>IF(D79="", "", VLOOKUP(D79, DanhSachLoaiQuyetDinhRange, 2, FALSE))</f>
      </c>
      <c r="AA79" s="0">
        <f>IF(I79="", "", VLOOKUP(I79, DanhSachPhongBanRange, 2, FALSE))</f>
      </c>
      <c r="AB79" s="0">
        <f>IF(J79="", "", VLOOKUP(J79, DanhSachChucDanhRange, 2, FALSE))</f>
      </c>
      <c r="AC79" s="0">
        <f>IF(L79="", "", VLOOKUP(L79, ThangLuongData, 2, FALSE))</f>
      </c>
      <c r="AD79" s="0">
        <f>IF(M79="", "", VLOOKUP(M79, NgachLuongData, 2, FALSE))</f>
      </c>
      <c r="AE79" s="0">
        <f>IF(N79="", "", VLOOKUP(N79, BacLuongData, 2, FALSE))</f>
      </c>
      <c r="AF79" s="0">
        <f>IF(P79="", "", VLOOKUP(P79, DanhSachCodeId, 3, FALSE))</f>
      </c>
    </row>
    <row r="80">
      <c r="A80" s="0">
        <f>IF(B80="", "", VLOOKUP(B80, DanhSachCodeId, 3, FALSE))</f>
      </c>
      <c r="C80" s="0">
        <f>IF(B80="", "", VLOOKUP(B80, DanhSachNhanVien, 2, FALSE))</f>
      </c>
      <c r="Q80" s="0">
        <f>IF(P80="", "", VLOOKUP(P80, DanhSachNhanVien, 2, FALSE))</f>
      </c>
      <c r="Z80" s="0">
        <f>IF(D80="", "", VLOOKUP(D80, DanhSachLoaiQuyetDinhRange, 2, FALSE))</f>
      </c>
      <c r="AA80" s="0">
        <f>IF(I80="", "", VLOOKUP(I80, DanhSachPhongBanRange, 2, FALSE))</f>
      </c>
      <c r="AB80" s="0">
        <f>IF(J80="", "", VLOOKUP(J80, DanhSachChucDanhRange, 2, FALSE))</f>
      </c>
      <c r="AC80" s="0">
        <f>IF(L80="", "", VLOOKUP(L80, ThangLuongData, 2, FALSE))</f>
      </c>
      <c r="AD80" s="0">
        <f>IF(M80="", "", VLOOKUP(M80, NgachLuongData, 2, FALSE))</f>
      </c>
      <c r="AE80" s="0">
        <f>IF(N80="", "", VLOOKUP(N80, BacLuongData, 2, FALSE))</f>
      </c>
      <c r="AF80" s="0">
        <f>IF(P80="", "", VLOOKUP(P80, DanhSachCodeId, 3, FALSE))</f>
      </c>
    </row>
    <row r="81">
      <c r="A81" s="0">
        <f>IF(B81="", "", VLOOKUP(B81, DanhSachCodeId, 3, FALSE))</f>
      </c>
      <c r="C81" s="0">
        <f>IF(B81="", "", VLOOKUP(B81, DanhSachNhanVien, 2, FALSE))</f>
      </c>
      <c r="Q81" s="0">
        <f>IF(P81="", "", VLOOKUP(P81, DanhSachNhanVien, 2, FALSE))</f>
      </c>
      <c r="Z81" s="0">
        <f>IF(D81="", "", VLOOKUP(D81, DanhSachLoaiQuyetDinhRange, 2, FALSE))</f>
      </c>
      <c r="AA81" s="0">
        <f>IF(I81="", "", VLOOKUP(I81, DanhSachPhongBanRange, 2, FALSE))</f>
      </c>
      <c r="AB81" s="0">
        <f>IF(J81="", "", VLOOKUP(J81, DanhSachChucDanhRange, 2, FALSE))</f>
      </c>
      <c r="AC81" s="0">
        <f>IF(L81="", "", VLOOKUP(L81, ThangLuongData, 2, FALSE))</f>
      </c>
      <c r="AD81" s="0">
        <f>IF(M81="", "", VLOOKUP(M81, NgachLuongData, 2, FALSE))</f>
      </c>
      <c r="AE81" s="0">
        <f>IF(N81="", "", VLOOKUP(N81, BacLuongData, 2, FALSE))</f>
      </c>
      <c r="AF81" s="0">
        <f>IF(P81="", "", VLOOKUP(P81, DanhSachCodeId, 3, FALSE))</f>
      </c>
    </row>
    <row r="82">
      <c r="A82" s="0">
        <f>IF(B82="", "", VLOOKUP(B82, DanhSachCodeId, 3, FALSE))</f>
      </c>
      <c r="C82" s="0">
        <f>IF(B82="", "", VLOOKUP(B82, DanhSachNhanVien, 2, FALSE))</f>
      </c>
      <c r="Q82" s="0">
        <f>IF(P82="", "", VLOOKUP(P82, DanhSachNhanVien, 2, FALSE))</f>
      </c>
      <c r="Z82" s="0">
        <f>IF(D82="", "", VLOOKUP(D82, DanhSachLoaiQuyetDinhRange, 2, FALSE))</f>
      </c>
      <c r="AA82" s="0">
        <f>IF(I82="", "", VLOOKUP(I82, DanhSachPhongBanRange, 2, FALSE))</f>
      </c>
      <c r="AB82" s="0">
        <f>IF(J82="", "", VLOOKUP(J82, DanhSachChucDanhRange, 2, FALSE))</f>
      </c>
      <c r="AC82" s="0">
        <f>IF(L82="", "", VLOOKUP(L82, ThangLuongData, 2, FALSE))</f>
      </c>
      <c r="AD82" s="0">
        <f>IF(M82="", "", VLOOKUP(M82, NgachLuongData, 2, FALSE))</f>
      </c>
      <c r="AE82" s="0">
        <f>IF(N82="", "", VLOOKUP(N82, BacLuongData, 2, FALSE))</f>
      </c>
      <c r="AF82" s="0">
        <f>IF(P82="", "", VLOOKUP(P82, DanhSachCodeId, 3, FALSE))</f>
      </c>
    </row>
    <row r="83">
      <c r="A83" s="0">
        <f>IF(B83="", "", VLOOKUP(B83, DanhSachCodeId, 3, FALSE))</f>
      </c>
      <c r="C83" s="0">
        <f>IF(B83="", "", VLOOKUP(B83, DanhSachNhanVien, 2, FALSE))</f>
      </c>
      <c r="Q83" s="0">
        <f>IF(P83="", "", VLOOKUP(P83, DanhSachNhanVien, 2, FALSE))</f>
      </c>
      <c r="Z83" s="0">
        <f>IF(D83="", "", VLOOKUP(D83, DanhSachLoaiQuyetDinhRange, 2, FALSE))</f>
      </c>
      <c r="AA83" s="0">
        <f>IF(I83="", "", VLOOKUP(I83, DanhSachPhongBanRange, 2, FALSE))</f>
      </c>
      <c r="AB83" s="0">
        <f>IF(J83="", "", VLOOKUP(J83, DanhSachChucDanhRange, 2, FALSE))</f>
      </c>
      <c r="AC83" s="0">
        <f>IF(L83="", "", VLOOKUP(L83, ThangLuongData, 2, FALSE))</f>
      </c>
      <c r="AD83" s="0">
        <f>IF(M83="", "", VLOOKUP(M83, NgachLuongData, 2, FALSE))</f>
      </c>
      <c r="AE83" s="0">
        <f>IF(N83="", "", VLOOKUP(N83, BacLuongData, 2, FALSE))</f>
      </c>
      <c r="AF83" s="0">
        <f>IF(P83="", "", VLOOKUP(P83, DanhSachCodeId, 3, FALSE))</f>
      </c>
    </row>
    <row r="84">
      <c r="A84" s="0">
        <f>IF(B84="", "", VLOOKUP(B84, DanhSachCodeId, 3, FALSE))</f>
      </c>
      <c r="C84" s="0">
        <f>IF(B84="", "", VLOOKUP(B84, DanhSachNhanVien, 2, FALSE))</f>
      </c>
      <c r="Q84" s="0">
        <f>IF(P84="", "", VLOOKUP(P84, DanhSachNhanVien, 2, FALSE))</f>
      </c>
      <c r="Z84" s="0">
        <f>IF(D84="", "", VLOOKUP(D84, DanhSachLoaiQuyetDinhRange, 2, FALSE))</f>
      </c>
      <c r="AA84" s="0">
        <f>IF(I84="", "", VLOOKUP(I84, DanhSachPhongBanRange, 2, FALSE))</f>
      </c>
      <c r="AB84" s="0">
        <f>IF(J84="", "", VLOOKUP(J84, DanhSachChucDanhRange, 2, FALSE))</f>
      </c>
      <c r="AC84" s="0">
        <f>IF(L84="", "", VLOOKUP(L84, ThangLuongData, 2, FALSE))</f>
      </c>
      <c r="AD84" s="0">
        <f>IF(M84="", "", VLOOKUP(M84, NgachLuongData, 2, FALSE))</f>
      </c>
      <c r="AE84" s="0">
        <f>IF(N84="", "", VLOOKUP(N84, BacLuongData, 2, FALSE))</f>
      </c>
      <c r="AF84" s="0">
        <f>IF(P84="", "", VLOOKUP(P84, DanhSachCodeId, 3, FALSE))</f>
      </c>
    </row>
    <row r="85">
      <c r="A85" s="0">
        <f>IF(B85="", "", VLOOKUP(B85, DanhSachCodeId, 3, FALSE))</f>
      </c>
      <c r="C85" s="0">
        <f>IF(B85="", "", VLOOKUP(B85, DanhSachNhanVien, 2, FALSE))</f>
      </c>
      <c r="Q85" s="0">
        <f>IF(P85="", "", VLOOKUP(P85, DanhSachNhanVien, 2, FALSE))</f>
      </c>
      <c r="Z85" s="0">
        <f>IF(D85="", "", VLOOKUP(D85, DanhSachLoaiQuyetDinhRange, 2, FALSE))</f>
      </c>
      <c r="AA85" s="0">
        <f>IF(I85="", "", VLOOKUP(I85, DanhSachPhongBanRange, 2, FALSE))</f>
      </c>
      <c r="AB85" s="0">
        <f>IF(J85="", "", VLOOKUP(J85, DanhSachChucDanhRange, 2, FALSE))</f>
      </c>
      <c r="AC85" s="0">
        <f>IF(L85="", "", VLOOKUP(L85, ThangLuongData, 2, FALSE))</f>
      </c>
      <c r="AD85" s="0">
        <f>IF(M85="", "", VLOOKUP(M85, NgachLuongData, 2, FALSE))</f>
      </c>
      <c r="AE85" s="0">
        <f>IF(N85="", "", VLOOKUP(N85, BacLuongData, 2, FALSE))</f>
      </c>
      <c r="AF85" s="0">
        <f>IF(P85="", "", VLOOKUP(P85, DanhSachCodeId, 3, FALSE))</f>
      </c>
    </row>
    <row r="86">
      <c r="A86" s="0">
        <f>IF(B86="", "", VLOOKUP(B86, DanhSachCodeId, 3, FALSE))</f>
      </c>
      <c r="C86" s="0">
        <f>IF(B86="", "", VLOOKUP(B86, DanhSachNhanVien, 2, FALSE))</f>
      </c>
      <c r="Q86" s="0">
        <f>IF(P86="", "", VLOOKUP(P86, DanhSachNhanVien, 2, FALSE))</f>
      </c>
      <c r="Z86" s="0">
        <f>IF(D86="", "", VLOOKUP(D86, DanhSachLoaiQuyetDinhRange, 2, FALSE))</f>
      </c>
      <c r="AA86" s="0">
        <f>IF(I86="", "", VLOOKUP(I86, DanhSachPhongBanRange, 2, FALSE))</f>
      </c>
      <c r="AB86" s="0">
        <f>IF(J86="", "", VLOOKUP(J86, DanhSachChucDanhRange, 2, FALSE))</f>
      </c>
      <c r="AC86" s="0">
        <f>IF(L86="", "", VLOOKUP(L86, ThangLuongData, 2, FALSE))</f>
      </c>
      <c r="AD86" s="0">
        <f>IF(M86="", "", VLOOKUP(M86, NgachLuongData, 2, FALSE))</f>
      </c>
      <c r="AE86" s="0">
        <f>IF(N86="", "", VLOOKUP(N86, BacLuongData, 2, FALSE))</f>
      </c>
      <c r="AF86" s="0">
        <f>IF(P86="", "", VLOOKUP(P86, DanhSachCodeId, 3, FALSE))</f>
      </c>
    </row>
    <row r="87">
      <c r="A87" s="0">
        <f>IF(B87="", "", VLOOKUP(B87, DanhSachCodeId, 3, FALSE))</f>
      </c>
      <c r="C87" s="0">
        <f>IF(B87="", "", VLOOKUP(B87, DanhSachNhanVien, 2, FALSE))</f>
      </c>
      <c r="Q87" s="0">
        <f>IF(P87="", "", VLOOKUP(P87, DanhSachNhanVien, 2, FALSE))</f>
      </c>
      <c r="Z87" s="0">
        <f>IF(D87="", "", VLOOKUP(D87, DanhSachLoaiQuyetDinhRange, 2, FALSE))</f>
      </c>
      <c r="AA87" s="0">
        <f>IF(I87="", "", VLOOKUP(I87, DanhSachPhongBanRange, 2, FALSE))</f>
      </c>
      <c r="AB87" s="0">
        <f>IF(J87="", "", VLOOKUP(J87, DanhSachChucDanhRange, 2, FALSE))</f>
      </c>
      <c r="AC87" s="0">
        <f>IF(L87="", "", VLOOKUP(L87, ThangLuongData, 2, FALSE))</f>
      </c>
      <c r="AD87" s="0">
        <f>IF(M87="", "", VLOOKUP(M87, NgachLuongData, 2, FALSE))</f>
      </c>
      <c r="AE87" s="0">
        <f>IF(N87="", "", VLOOKUP(N87, BacLuongData, 2, FALSE))</f>
      </c>
      <c r="AF87" s="0">
        <f>IF(P87="", "", VLOOKUP(P87, DanhSachCodeId, 3, FALSE))</f>
      </c>
    </row>
    <row r="88">
      <c r="A88" s="0">
        <f>IF(B88="", "", VLOOKUP(B88, DanhSachCodeId, 3, FALSE))</f>
      </c>
      <c r="C88" s="0">
        <f>IF(B88="", "", VLOOKUP(B88, DanhSachNhanVien, 2, FALSE))</f>
      </c>
      <c r="Q88" s="0">
        <f>IF(P88="", "", VLOOKUP(P88, DanhSachNhanVien, 2, FALSE))</f>
      </c>
      <c r="Z88" s="0">
        <f>IF(D88="", "", VLOOKUP(D88, DanhSachLoaiQuyetDinhRange, 2, FALSE))</f>
      </c>
      <c r="AA88" s="0">
        <f>IF(I88="", "", VLOOKUP(I88, DanhSachPhongBanRange, 2, FALSE))</f>
      </c>
      <c r="AB88" s="0">
        <f>IF(J88="", "", VLOOKUP(J88, DanhSachChucDanhRange, 2, FALSE))</f>
      </c>
      <c r="AC88" s="0">
        <f>IF(L88="", "", VLOOKUP(L88, ThangLuongData, 2, FALSE))</f>
      </c>
      <c r="AD88" s="0">
        <f>IF(M88="", "", VLOOKUP(M88, NgachLuongData, 2, FALSE))</f>
      </c>
      <c r="AE88" s="0">
        <f>IF(N88="", "", VLOOKUP(N88, BacLuongData, 2, FALSE))</f>
      </c>
      <c r="AF88" s="0">
        <f>IF(P88="", "", VLOOKUP(P88, DanhSachCodeId, 3, FALSE))</f>
      </c>
    </row>
    <row r="89">
      <c r="A89" s="0">
        <f>IF(B89="", "", VLOOKUP(B89, DanhSachCodeId, 3, FALSE))</f>
      </c>
      <c r="C89" s="0">
        <f>IF(B89="", "", VLOOKUP(B89, DanhSachNhanVien, 2, FALSE))</f>
      </c>
      <c r="Q89" s="0">
        <f>IF(P89="", "", VLOOKUP(P89, DanhSachNhanVien, 2, FALSE))</f>
      </c>
      <c r="Z89" s="0">
        <f>IF(D89="", "", VLOOKUP(D89, DanhSachLoaiQuyetDinhRange, 2, FALSE))</f>
      </c>
      <c r="AA89" s="0">
        <f>IF(I89="", "", VLOOKUP(I89, DanhSachPhongBanRange, 2, FALSE))</f>
      </c>
      <c r="AB89" s="0">
        <f>IF(J89="", "", VLOOKUP(J89, DanhSachChucDanhRange, 2, FALSE))</f>
      </c>
      <c r="AC89" s="0">
        <f>IF(L89="", "", VLOOKUP(L89, ThangLuongData, 2, FALSE))</f>
      </c>
      <c r="AD89" s="0">
        <f>IF(M89="", "", VLOOKUP(M89, NgachLuongData, 2, FALSE))</f>
      </c>
      <c r="AE89" s="0">
        <f>IF(N89="", "", VLOOKUP(N89, BacLuongData, 2, FALSE))</f>
      </c>
      <c r="AF89" s="0">
        <f>IF(P89="", "", VLOOKUP(P89, DanhSachCodeId, 3, FALSE))</f>
      </c>
    </row>
    <row r="90">
      <c r="A90" s="0">
        <f>IF(B90="", "", VLOOKUP(B90, DanhSachCodeId, 3, FALSE))</f>
      </c>
      <c r="C90" s="0">
        <f>IF(B90="", "", VLOOKUP(B90, DanhSachNhanVien, 2, FALSE))</f>
      </c>
      <c r="Q90" s="0">
        <f>IF(P90="", "", VLOOKUP(P90, DanhSachNhanVien, 2, FALSE))</f>
      </c>
      <c r="Z90" s="0">
        <f>IF(D90="", "", VLOOKUP(D90, DanhSachLoaiQuyetDinhRange, 2, FALSE))</f>
      </c>
      <c r="AA90" s="0">
        <f>IF(I90="", "", VLOOKUP(I90, DanhSachPhongBanRange, 2, FALSE))</f>
      </c>
      <c r="AB90" s="0">
        <f>IF(J90="", "", VLOOKUP(J90, DanhSachChucDanhRange, 2, FALSE))</f>
      </c>
      <c r="AC90" s="0">
        <f>IF(L90="", "", VLOOKUP(L90, ThangLuongData, 2, FALSE))</f>
      </c>
      <c r="AD90" s="0">
        <f>IF(M90="", "", VLOOKUP(M90, NgachLuongData, 2, FALSE))</f>
      </c>
      <c r="AE90" s="0">
        <f>IF(N90="", "", VLOOKUP(N90, BacLuongData, 2, FALSE))</f>
      </c>
      <c r="AF90" s="0">
        <f>IF(P90="", "", VLOOKUP(P90, DanhSachCodeId, 3, FALSE))</f>
      </c>
    </row>
    <row r="91">
      <c r="A91" s="0">
        <f>IF(B91="", "", VLOOKUP(B91, DanhSachCodeId, 3, FALSE))</f>
      </c>
      <c r="C91" s="0">
        <f>IF(B91="", "", VLOOKUP(B91, DanhSachNhanVien, 2, FALSE))</f>
      </c>
      <c r="Q91" s="0">
        <f>IF(P91="", "", VLOOKUP(P91, DanhSachNhanVien, 2, FALSE))</f>
      </c>
      <c r="Z91" s="0">
        <f>IF(D91="", "", VLOOKUP(D91, DanhSachLoaiQuyetDinhRange, 2, FALSE))</f>
      </c>
      <c r="AA91" s="0">
        <f>IF(I91="", "", VLOOKUP(I91, DanhSachPhongBanRange, 2, FALSE))</f>
      </c>
      <c r="AB91" s="0">
        <f>IF(J91="", "", VLOOKUP(J91, DanhSachChucDanhRange, 2, FALSE))</f>
      </c>
      <c r="AC91" s="0">
        <f>IF(L91="", "", VLOOKUP(L91, ThangLuongData, 2, FALSE))</f>
      </c>
      <c r="AD91" s="0">
        <f>IF(M91="", "", VLOOKUP(M91, NgachLuongData, 2, FALSE))</f>
      </c>
      <c r="AE91" s="0">
        <f>IF(N91="", "", VLOOKUP(N91, BacLuongData, 2, FALSE))</f>
      </c>
      <c r="AF91" s="0">
        <f>IF(P91="", "", VLOOKUP(P91, DanhSachCodeId, 3, FALSE))</f>
      </c>
    </row>
    <row r="92">
      <c r="A92" s="0">
        <f>IF(B92="", "", VLOOKUP(B92, DanhSachCodeId, 3, FALSE))</f>
      </c>
      <c r="C92" s="0">
        <f>IF(B92="", "", VLOOKUP(B92, DanhSachNhanVien, 2, FALSE))</f>
      </c>
      <c r="Q92" s="0">
        <f>IF(P92="", "", VLOOKUP(P92, DanhSachNhanVien, 2, FALSE))</f>
      </c>
      <c r="Z92" s="0">
        <f>IF(D92="", "", VLOOKUP(D92, DanhSachLoaiQuyetDinhRange, 2, FALSE))</f>
      </c>
      <c r="AA92" s="0">
        <f>IF(I92="", "", VLOOKUP(I92, DanhSachPhongBanRange, 2, FALSE))</f>
      </c>
      <c r="AB92" s="0">
        <f>IF(J92="", "", VLOOKUP(J92, DanhSachChucDanhRange, 2, FALSE))</f>
      </c>
      <c r="AC92" s="0">
        <f>IF(L92="", "", VLOOKUP(L92, ThangLuongData, 2, FALSE))</f>
      </c>
      <c r="AD92" s="0">
        <f>IF(M92="", "", VLOOKUP(M92, NgachLuongData, 2, FALSE))</f>
      </c>
      <c r="AE92" s="0">
        <f>IF(N92="", "", VLOOKUP(N92, BacLuongData, 2, FALSE))</f>
      </c>
      <c r="AF92" s="0">
        <f>IF(P92="", "", VLOOKUP(P92, DanhSachCodeId, 3, FALSE))</f>
      </c>
    </row>
    <row r="93">
      <c r="A93" s="0">
        <f>IF(B93="", "", VLOOKUP(B93, DanhSachCodeId, 3, FALSE))</f>
      </c>
      <c r="C93" s="0">
        <f>IF(B93="", "", VLOOKUP(B93, DanhSachNhanVien, 2, FALSE))</f>
      </c>
      <c r="Q93" s="0">
        <f>IF(P93="", "", VLOOKUP(P93, DanhSachNhanVien, 2, FALSE))</f>
      </c>
      <c r="Z93" s="0">
        <f>IF(D93="", "", VLOOKUP(D93, DanhSachLoaiQuyetDinhRange, 2, FALSE))</f>
      </c>
      <c r="AA93" s="0">
        <f>IF(I93="", "", VLOOKUP(I93, DanhSachPhongBanRange, 2, FALSE))</f>
      </c>
      <c r="AB93" s="0">
        <f>IF(J93="", "", VLOOKUP(J93, DanhSachChucDanhRange, 2, FALSE))</f>
      </c>
      <c r="AC93" s="0">
        <f>IF(L93="", "", VLOOKUP(L93, ThangLuongData, 2, FALSE))</f>
      </c>
      <c r="AD93" s="0">
        <f>IF(M93="", "", VLOOKUP(M93, NgachLuongData, 2, FALSE))</f>
      </c>
      <c r="AE93" s="0">
        <f>IF(N93="", "", VLOOKUP(N93, BacLuongData, 2, FALSE))</f>
      </c>
      <c r="AF93" s="0">
        <f>IF(P93="", "", VLOOKUP(P93, DanhSachCodeId, 3, FALSE))</f>
      </c>
    </row>
    <row r="94">
      <c r="A94" s="0">
        <f>IF(B94="", "", VLOOKUP(B94, DanhSachCodeId, 3, FALSE))</f>
      </c>
      <c r="C94" s="0">
        <f>IF(B94="", "", VLOOKUP(B94, DanhSachNhanVien, 2, FALSE))</f>
      </c>
      <c r="Q94" s="0">
        <f>IF(P94="", "", VLOOKUP(P94, DanhSachNhanVien, 2, FALSE))</f>
      </c>
      <c r="Z94" s="0">
        <f>IF(D94="", "", VLOOKUP(D94, DanhSachLoaiQuyetDinhRange, 2, FALSE))</f>
      </c>
      <c r="AA94" s="0">
        <f>IF(I94="", "", VLOOKUP(I94, DanhSachPhongBanRange, 2, FALSE))</f>
      </c>
      <c r="AB94" s="0">
        <f>IF(J94="", "", VLOOKUP(J94, DanhSachChucDanhRange, 2, FALSE))</f>
      </c>
      <c r="AC94" s="0">
        <f>IF(L94="", "", VLOOKUP(L94, ThangLuongData, 2, FALSE))</f>
      </c>
      <c r="AD94" s="0">
        <f>IF(M94="", "", VLOOKUP(M94, NgachLuongData, 2, FALSE))</f>
      </c>
      <c r="AE94" s="0">
        <f>IF(N94="", "", VLOOKUP(N94, BacLuongData, 2, FALSE))</f>
      </c>
      <c r="AF94" s="0">
        <f>IF(P94="", "", VLOOKUP(P94, DanhSachCodeId, 3, FALSE))</f>
      </c>
    </row>
    <row r="95">
      <c r="A95" s="0">
        <f>IF(B95="", "", VLOOKUP(B95, DanhSachCodeId, 3, FALSE))</f>
      </c>
      <c r="C95" s="0">
        <f>IF(B95="", "", VLOOKUP(B95, DanhSachNhanVien, 2, FALSE))</f>
      </c>
      <c r="Q95" s="0">
        <f>IF(P95="", "", VLOOKUP(P95, DanhSachNhanVien, 2, FALSE))</f>
      </c>
      <c r="Z95" s="0">
        <f>IF(D95="", "", VLOOKUP(D95, DanhSachLoaiQuyetDinhRange, 2, FALSE))</f>
      </c>
      <c r="AA95" s="0">
        <f>IF(I95="", "", VLOOKUP(I95, DanhSachPhongBanRange, 2, FALSE))</f>
      </c>
      <c r="AB95" s="0">
        <f>IF(J95="", "", VLOOKUP(J95, DanhSachChucDanhRange, 2, FALSE))</f>
      </c>
      <c r="AC95" s="0">
        <f>IF(L95="", "", VLOOKUP(L95, ThangLuongData, 2, FALSE))</f>
      </c>
      <c r="AD95" s="0">
        <f>IF(M95="", "", VLOOKUP(M95, NgachLuongData, 2, FALSE))</f>
      </c>
      <c r="AE95" s="0">
        <f>IF(N95="", "", VLOOKUP(N95, BacLuongData, 2, FALSE))</f>
      </c>
      <c r="AF95" s="0">
        <f>IF(P95="", "", VLOOKUP(P95, DanhSachCodeId, 3, FALSE))</f>
      </c>
    </row>
    <row r="96">
      <c r="A96" s="0">
        <f>IF(B96="", "", VLOOKUP(B96, DanhSachCodeId, 3, FALSE))</f>
      </c>
      <c r="C96" s="0">
        <f>IF(B96="", "", VLOOKUP(B96, DanhSachNhanVien, 2, FALSE))</f>
      </c>
      <c r="Q96" s="0">
        <f>IF(P96="", "", VLOOKUP(P96, DanhSachNhanVien, 2, FALSE))</f>
      </c>
      <c r="Z96" s="0">
        <f>IF(D96="", "", VLOOKUP(D96, DanhSachLoaiQuyetDinhRange, 2, FALSE))</f>
      </c>
      <c r="AA96" s="0">
        <f>IF(I96="", "", VLOOKUP(I96, DanhSachPhongBanRange, 2, FALSE))</f>
      </c>
      <c r="AB96" s="0">
        <f>IF(J96="", "", VLOOKUP(J96, DanhSachChucDanhRange, 2, FALSE))</f>
      </c>
      <c r="AC96" s="0">
        <f>IF(L96="", "", VLOOKUP(L96, ThangLuongData, 2, FALSE))</f>
      </c>
      <c r="AD96" s="0">
        <f>IF(M96="", "", VLOOKUP(M96, NgachLuongData, 2, FALSE))</f>
      </c>
      <c r="AE96" s="0">
        <f>IF(N96="", "", VLOOKUP(N96, BacLuongData, 2, FALSE))</f>
      </c>
      <c r="AF96" s="0">
        <f>IF(P96="", "", VLOOKUP(P96, DanhSachCodeId, 3, FALSE))</f>
      </c>
    </row>
    <row r="97">
      <c r="A97" s="0">
        <f>IF(B97="", "", VLOOKUP(B97, DanhSachCodeId, 3, FALSE))</f>
      </c>
      <c r="C97" s="0">
        <f>IF(B97="", "", VLOOKUP(B97, DanhSachNhanVien, 2, FALSE))</f>
      </c>
      <c r="Q97" s="0">
        <f>IF(P97="", "", VLOOKUP(P97, DanhSachNhanVien, 2, FALSE))</f>
      </c>
      <c r="Z97" s="0">
        <f>IF(D97="", "", VLOOKUP(D97, DanhSachLoaiQuyetDinhRange, 2, FALSE))</f>
      </c>
      <c r="AA97" s="0">
        <f>IF(I97="", "", VLOOKUP(I97, DanhSachPhongBanRange, 2, FALSE))</f>
      </c>
      <c r="AB97" s="0">
        <f>IF(J97="", "", VLOOKUP(J97, DanhSachChucDanhRange, 2, FALSE))</f>
      </c>
      <c r="AC97" s="0">
        <f>IF(L97="", "", VLOOKUP(L97, ThangLuongData, 2, FALSE))</f>
      </c>
      <c r="AD97" s="0">
        <f>IF(M97="", "", VLOOKUP(M97, NgachLuongData, 2, FALSE))</f>
      </c>
      <c r="AE97" s="0">
        <f>IF(N97="", "", VLOOKUP(N97, BacLuongData, 2, FALSE))</f>
      </c>
      <c r="AF97" s="0">
        <f>IF(P97="", "", VLOOKUP(P97, DanhSachCodeId, 3, FALSE))</f>
      </c>
    </row>
    <row r="98">
      <c r="A98" s="0">
        <f>IF(B98="", "", VLOOKUP(B98, DanhSachCodeId, 3, FALSE))</f>
      </c>
      <c r="C98" s="0">
        <f>IF(B98="", "", VLOOKUP(B98, DanhSachNhanVien, 2, FALSE))</f>
      </c>
      <c r="Q98" s="0">
        <f>IF(P98="", "", VLOOKUP(P98, DanhSachNhanVien, 2, FALSE))</f>
      </c>
      <c r="Z98" s="0">
        <f>IF(D98="", "", VLOOKUP(D98, DanhSachLoaiQuyetDinhRange, 2, FALSE))</f>
      </c>
      <c r="AA98" s="0">
        <f>IF(I98="", "", VLOOKUP(I98, DanhSachPhongBanRange, 2, FALSE))</f>
      </c>
      <c r="AB98" s="0">
        <f>IF(J98="", "", VLOOKUP(J98, DanhSachChucDanhRange, 2, FALSE))</f>
      </c>
      <c r="AC98" s="0">
        <f>IF(L98="", "", VLOOKUP(L98, ThangLuongData, 2, FALSE))</f>
      </c>
      <c r="AD98" s="0">
        <f>IF(M98="", "", VLOOKUP(M98, NgachLuongData, 2, FALSE))</f>
      </c>
      <c r="AE98" s="0">
        <f>IF(N98="", "", VLOOKUP(N98, BacLuongData, 2, FALSE))</f>
      </c>
      <c r="AF98" s="0">
        <f>IF(P98="", "", VLOOKUP(P98, DanhSachCodeId, 3, FALSE))</f>
      </c>
    </row>
    <row r="99">
      <c r="A99" s="0">
        <f>IF(B99="", "", VLOOKUP(B99, DanhSachCodeId, 3, FALSE))</f>
      </c>
      <c r="C99" s="0">
        <f>IF(B99="", "", VLOOKUP(B99, DanhSachNhanVien, 2, FALSE))</f>
      </c>
      <c r="Q99" s="0">
        <f>IF(P99="", "", VLOOKUP(P99, DanhSachNhanVien, 2, FALSE))</f>
      </c>
      <c r="Z99" s="0">
        <f>IF(D99="", "", VLOOKUP(D99, DanhSachLoaiQuyetDinhRange, 2, FALSE))</f>
      </c>
      <c r="AA99" s="0">
        <f>IF(I99="", "", VLOOKUP(I99, DanhSachPhongBanRange, 2, FALSE))</f>
      </c>
      <c r="AB99" s="0">
        <f>IF(J99="", "", VLOOKUP(J99, DanhSachChucDanhRange, 2, FALSE))</f>
      </c>
      <c r="AC99" s="0">
        <f>IF(L99="", "", VLOOKUP(L99, ThangLuongData, 2, FALSE))</f>
      </c>
      <c r="AD99" s="0">
        <f>IF(M99="", "", VLOOKUP(M99, NgachLuongData, 2, FALSE))</f>
      </c>
      <c r="AE99" s="0">
        <f>IF(N99="", "", VLOOKUP(N99, BacLuongData, 2, FALSE))</f>
      </c>
      <c r="AF99" s="0">
        <f>IF(P99="", "", VLOOKUP(P99, DanhSachCodeId, 3, FALSE))</f>
      </c>
    </row>
    <row r="100">
      <c r="A100" s="0">
        <f>IF(B100="", "", VLOOKUP(B100, DanhSachCodeId, 3, FALSE))</f>
      </c>
      <c r="C100" s="0">
        <f>IF(B100="", "", VLOOKUP(B100, DanhSachNhanVien, 2, FALSE))</f>
      </c>
      <c r="Q100" s="0">
        <f>IF(P100="", "", VLOOKUP(P100, DanhSachNhanVien, 2, FALSE))</f>
      </c>
      <c r="Z100" s="0">
        <f>IF(D100="", "", VLOOKUP(D100, DanhSachLoaiQuyetDinhRange, 2, FALSE))</f>
      </c>
      <c r="AA100" s="0">
        <f>IF(I100="", "", VLOOKUP(I100, DanhSachPhongBanRange, 2, FALSE))</f>
      </c>
      <c r="AB100" s="0">
        <f>IF(J100="", "", VLOOKUP(J100, DanhSachChucDanhRange, 2, FALSE))</f>
      </c>
      <c r="AC100" s="0">
        <f>IF(L100="", "", VLOOKUP(L100, ThangLuongData, 2, FALSE))</f>
      </c>
      <c r="AD100" s="0">
        <f>IF(M100="", "", VLOOKUP(M100, NgachLuongData, 2, FALSE))</f>
      </c>
      <c r="AE100" s="0">
        <f>IF(N100="", "", VLOOKUP(N100, BacLuongData, 2, FALSE))</f>
      </c>
      <c r="AF100" s="0">
        <f>IF(P100="", "", VLOOKUP(P100, DanhSachCodeId, 3, FALSE))</f>
      </c>
    </row>
    <row r="101">
      <c r="A101" s="0">
        <f>IF(B101="", "", VLOOKUP(B101, DanhSachCodeId, 3, FALSE))</f>
      </c>
      <c r="C101" s="0">
        <f>IF(B101="", "", VLOOKUP(B101, DanhSachNhanVien, 2, FALSE))</f>
      </c>
      <c r="Q101" s="0">
        <f>IF(P101="", "", VLOOKUP(P101, DanhSachNhanVien, 2, FALSE))</f>
      </c>
      <c r="Z101" s="0">
        <f>IF(D101="", "", VLOOKUP(D101, DanhSachLoaiQuyetDinhRange, 2, FALSE))</f>
      </c>
      <c r="AA101" s="0">
        <f>IF(I101="", "", VLOOKUP(I101, DanhSachPhongBanRange, 2, FALSE))</f>
      </c>
      <c r="AB101" s="0">
        <f>IF(J101="", "", VLOOKUP(J101, DanhSachChucDanhRange, 2, FALSE))</f>
      </c>
      <c r="AC101" s="0">
        <f>IF(L101="", "", VLOOKUP(L101, ThangLuongData, 2, FALSE))</f>
      </c>
      <c r="AD101" s="0">
        <f>IF(M101="", "", VLOOKUP(M101, NgachLuongData, 2, FALSE))</f>
      </c>
      <c r="AE101" s="0">
        <f>IF(N101="", "", VLOOKUP(N101, BacLuongData, 2, FALSE))</f>
      </c>
      <c r="AF101" s="0">
        <f>IF(P101="", "", VLOOKUP(P101, DanhSachCodeId, 3, FALSE))</f>
      </c>
    </row>
    <row r="102">
      <c r="A102" s="0">
        <f>IF(B102="", "", VLOOKUP(B102, DanhSachCodeId, 3, FALSE))</f>
      </c>
      <c r="C102" s="0">
        <f>IF(B102="", "", VLOOKUP(B102, DanhSachNhanVien, 2, FALSE))</f>
      </c>
      <c r="Q102" s="0">
        <f>IF(P102="", "", VLOOKUP(P102, DanhSachNhanVien, 2, FALSE))</f>
      </c>
      <c r="Z102" s="0">
        <f>IF(D102="", "", VLOOKUP(D102, DanhSachLoaiQuyetDinhRange, 2, FALSE))</f>
      </c>
      <c r="AA102" s="0">
        <f>IF(I102="", "", VLOOKUP(I102, DanhSachPhongBanRange, 2, FALSE))</f>
      </c>
      <c r="AB102" s="0">
        <f>IF(J102="", "", VLOOKUP(J102, DanhSachChucDanhRange, 2, FALSE))</f>
      </c>
      <c r="AC102" s="0">
        <f>IF(L102="", "", VLOOKUP(L102, ThangLuongData, 2, FALSE))</f>
      </c>
      <c r="AD102" s="0">
        <f>IF(M102="", "", VLOOKUP(M102, NgachLuongData, 2, FALSE))</f>
      </c>
      <c r="AE102" s="0">
        <f>IF(N102="", "", VLOOKUP(N102, BacLuongData, 2, FALSE))</f>
      </c>
      <c r="AF102" s="0">
        <f>IF(P102="", "", VLOOKUP(P102, DanhSachCodeId, 3, FALSE))</f>
      </c>
    </row>
    <row r="103">
      <c r="A103" s="0">
        <f>IF(B103="", "", VLOOKUP(B103, DanhSachCodeId, 3, FALSE))</f>
      </c>
      <c r="C103" s="0">
        <f>IF(B103="", "", VLOOKUP(B103, DanhSachNhanVien, 2, FALSE))</f>
      </c>
      <c r="Q103" s="0">
        <f>IF(P103="", "", VLOOKUP(P103, DanhSachNhanVien, 2, FALSE))</f>
      </c>
      <c r="Z103" s="0">
        <f>IF(D103="", "", VLOOKUP(D103, DanhSachLoaiQuyetDinhRange, 2, FALSE))</f>
      </c>
      <c r="AA103" s="0">
        <f>IF(I103="", "", VLOOKUP(I103, DanhSachPhongBanRange, 2, FALSE))</f>
      </c>
      <c r="AB103" s="0">
        <f>IF(J103="", "", VLOOKUP(J103, DanhSachChucDanhRange, 2, FALSE))</f>
      </c>
      <c r="AC103" s="0">
        <f>IF(L103="", "", VLOOKUP(L103, ThangLuongData, 2, FALSE))</f>
      </c>
      <c r="AD103" s="0">
        <f>IF(M103="", "", VLOOKUP(M103, NgachLuongData, 2, FALSE))</f>
      </c>
      <c r="AE103" s="0">
        <f>IF(N103="", "", VLOOKUP(N103, BacLuongData, 2, FALSE))</f>
      </c>
      <c r="AF103" s="0">
        <f>IF(P103="", "", VLOOKUP(P103, DanhSachCodeId, 3, FALSE))</f>
      </c>
    </row>
    <row r="104">
      <c r="A104" s="0">
        <f>IF(B104="", "", VLOOKUP(B104, DanhSachCodeId, 3, FALSE))</f>
      </c>
      <c r="C104" s="0">
        <f>IF(B104="", "", VLOOKUP(B104, DanhSachNhanVien, 2, FALSE))</f>
      </c>
      <c r="Q104" s="0">
        <f>IF(P104="", "", VLOOKUP(P104, DanhSachNhanVien, 2, FALSE))</f>
      </c>
      <c r="Z104" s="0">
        <f>IF(D104="", "", VLOOKUP(D104, DanhSachLoaiQuyetDinhRange, 2, FALSE))</f>
      </c>
      <c r="AA104" s="0">
        <f>IF(I104="", "", VLOOKUP(I104, DanhSachPhongBanRange, 2, FALSE))</f>
      </c>
      <c r="AB104" s="0">
        <f>IF(J104="", "", VLOOKUP(J104, DanhSachChucDanhRange, 2, FALSE))</f>
      </c>
      <c r="AC104" s="0">
        <f>IF(L104="", "", VLOOKUP(L104, ThangLuongData, 2, FALSE))</f>
      </c>
      <c r="AD104" s="0">
        <f>IF(M104="", "", VLOOKUP(M104, NgachLuongData, 2, FALSE))</f>
      </c>
      <c r="AE104" s="0">
        <f>IF(N104="", "", VLOOKUP(N104, BacLuongData, 2, FALSE))</f>
      </c>
      <c r="AF104" s="0">
        <f>IF(P104="", "", VLOOKUP(P104, DanhSachCodeId, 3, FALSE))</f>
      </c>
    </row>
    <row r="105">
      <c r="A105" s="0">
        <f>IF(B105="", "", VLOOKUP(B105, DanhSachCodeId, 3, FALSE))</f>
      </c>
      <c r="C105" s="0">
        <f>IF(B105="", "", VLOOKUP(B105, DanhSachNhanVien, 2, FALSE))</f>
      </c>
      <c r="Q105" s="0">
        <f>IF(P105="", "", VLOOKUP(P105, DanhSachNhanVien, 2, FALSE))</f>
      </c>
      <c r="Z105" s="0">
        <f>IF(D105="", "", VLOOKUP(D105, DanhSachLoaiQuyetDinhRange, 2, FALSE))</f>
      </c>
      <c r="AA105" s="0">
        <f>IF(I105="", "", VLOOKUP(I105, DanhSachPhongBanRange, 2, FALSE))</f>
      </c>
      <c r="AB105" s="0">
        <f>IF(J105="", "", VLOOKUP(J105, DanhSachChucDanhRange, 2, FALSE))</f>
      </c>
      <c r="AC105" s="0">
        <f>IF(L105="", "", VLOOKUP(L105, ThangLuongData, 2, FALSE))</f>
      </c>
      <c r="AD105" s="0">
        <f>IF(M105="", "", VLOOKUP(M105, NgachLuongData, 2, FALSE))</f>
      </c>
      <c r="AE105" s="0">
        <f>IF(N105="", "", VLOOKUP(N105, BacLuongData, 2, FALSE))</f>
      </c>
      <c r="AF105" s="0">
        <f>IF(P105="", "", VLOOKUP(P105, DanhSachCodeId, 3, FALSE))</f>
      </c>
    </row>
    <row r="106">
      <c r="A106" s="0">
        <f>IF(B106="", "", VLOOKUP(B106, DanhSachCodeId, 3, FALSE))</f>
      </c>
      <c r="C106" s="0">
        <f>IF(B106="", "", VLOOKUP(B106, DanhSachNhanVien, 2, FALSE))</f>
      </c>
      <c r="Q106" s="0">
        <f>IF(P106="", "", VLOOKUP(P106, DanhSachNhanVien, 2, FALSE))</f>
      </c>
      <c r="Z106" s="0">
        <f>IF(D106="", "", VLOOKUP(D106, DanhSachLoaiQuyetDinhRange, 2, FALSE))</f>
      </c>
      <c r="AA106" s="0">
        <f>IF(I106="", "", VLOOKUP(I106, DanhSachPhongBanRange, 2, FALSE))</f>
      </c>
      <c r="AB106" s="0">
        <f>IF(J106="", "", VLOOKUP(J106, DanhSachChucDanhRange, 2, FALSE))</f>
      </c>
      <c r="AC106" s="0">
        <f>IF(L106="", "", VLOOKUP(L106, ThangLuongData, 2, FALSE))</f>
      </c>
      <c r="AD106" s="0">
        <f>IF(M106="", "", VLOOKUP(M106, NgachLuongData, 2, FALSE))</f>
      </c>
      <c r="AE106" s="0">
        <f>IF(N106="", "", VLOOKUP(N106, BacLuongData, 2, FALSE))</f>
      </c>
      <c r="AF106" s="0">
        <f>IF(P106="", "", VLOOKUP(P106, DanhSachCodeId, 3, FALSE))</f>
      </c>
    </row>
    <row r="107">
      <c r="A107" s="0">
        <f>IF(B107="", "", VLOOKUP(B107, DanhSachCodeId, 3, FALSE))</f>
      </c>
      <c r="C107" s="0">
        <f>IF(B107="", "", VLOOKUP(B107, DanhSachNhanVien, 2, FALSE))</f>
      </c>
      <c r="Q107" s="0">
        <f>IF(P107="", "", VLOOKUP(P107, DanhSachNhanVien, 2, FALSE))</f>
      </c>
      <c r="Z107" s="0">
        <f>IF(D107="", "", VLOOKUP(D107, DanhSachLoaiQuyetDinhRange, 2, FALSE))</f>
      </c>
      <c r="AA107" s="0">
        <f>IF(I107="", "", VLOOKUP(I107, DanhSachPhongBanRange, 2, FALSE))</f>
      </c>
      <c r="AB107" s="0">
        <f>IF(J107="", "", VLOOKUP(J107, DanhSachChucDanhRange, 2, FALSE))</f>
      </c>
      <c r="AC107" s="0">
        <f>IF(L107="", "", VLOOKUP(L107, ThangLuongData, 2, FALSE))</f>
      </c>
      <c r="AD107" s="0">
        <f>IF(M107="", "", VLOOKUP(M107, NgachLuongData, 2, FALSE))</f>
      </c>
      <c r="AE107" s="0">
        <f>IF(N107="", "", VLOOKUP(N107, BacLuongData, 2, FALSE))</f>
      </c>
      <c r="AF107" s="0">
        <f>IF(P107="", "", VLOOKUP(P107, DanhSachCodeId, 3, FALSE))</f>
      </c>
    </row>
    <row r="108">
      <c r="A108" s="0">
        <f>IF(B108="", "", VLOOKUP(B108, DanhSachCodeId, 3, FALSE))</f>
      </c>
      <c r="C108" s="0">
        <f>IF(B108="", "", VLOOKUP(B108, DanhSachNhanVien, 2, FALSE))</f>
      </c>
      <c r="Q108" s="0">
        <f>IF(P108="", "", VLOOKUP(P108, DanhSachNhanVien, 2, FALSE))</f>
      </c>
      <c r="Z108" s="0">
        <f>IF(D108="", "", VLOOKUP(D108, DanhSachLoaiQuyetDinhRange, 2, FALSE))</f>
      </c>
      <c r="AA108" s="0">
        <f>IF(I108="", "", VLOOKUP(I108, DanhSachPhongBanRange, 2, FALSE))</f>
      </c>
      <c r="AB108" s="0">
        <f>IF(J108="", "", VLOOKUP(J108, DanhSachChucDanhRange, 2, FALSE))</f>
      </c>
      <c r="AC108" s="0">
        <f>IF(L108="", "", VLOOKUP(L108, ThangLuongData, 2, FALSE))</f>
      </c>
      <c r="AD108" s="0">
        <f>IF(M108="", "", VLOOKUP(M108, NgachLuongData, 2, FALSE))</f>
      </c>
      <c r="AE108" s="0">
        <f>IF(N108="", "", VLOOKUP(N108, BacLuongData, 2, FALSE))</f>
      </c>
      <c r="AF108" s="0">
        <f>IF(P108="", "", VLOOKUP(P108, DanhSachCodeId, 3, FALSE))</f>
      </c>
    </row>
    <row r="109">
      <c r="A109" s="0">
        <f>IF(B109="", "", VLOOKUP(B109, DanhSachCodeId, 3, FALSE))</f>
      </c>
      <c r="C109" s="0">
        <f>IF(B109="", "", VLOOKUP(B109, DanhSachNhanVien, 2, FALSE))</f>
      </c>
      <c r="Q109" s="0">
        <f>IF(P109="", "", VLOOKUP(P109, DanhSachNhanVien, 2, FALSE))</f>
      </c>
      <c r="Z109" s="0">
        <f>IF(D109="", "", VLOOKUP(D109, DanhSachLoaiQuyetDinhRange, 2, FALSE))</f>
      </c>
      <c r="AA109" s="0">
        <f>IF(I109="", "", VLOOKUP(I109, DanhSachPhongBanRange, 2, FALSE))</f>
      </c>
      <c r="AB109" s="0">
        <f>IF(J109="", "", VLOOKUP(J109, DanhSachChucDanhRange, 2, FALSE))</f>
      </c>
      <c r="AC109" s="0">
        <f>IF(L109="", "", VLOOKUP(L109, ThangLuongData, 2, FALSE))</f>
      </c>
      <c r="AD109" s="0">
        <f>IF(M109="", "", VLOOKUP(M109, NgachLuongData, 2, FALSE))</f>
      </c>
      <c r="AE109" s="0">
        <f>IF(N109="", "", VLOOKUP(N109, BacLuongData, 2, FALSE))</f>
      </c>
      <c r="AF109" s="0">
        <f>IF(P109="", "", VLOOKUP(P109, DanhSachCodeId, 3, FALSE))</f>
      </c>
    </row>
    <row r="110">
      <c r="A110" s="0">
        <f>IF(B110="", "", VLOOKUP(B110, DanhSachCodeId, 3, FALSE))</f>
      </c>
      <c r="C110" s="0">
        <f>IF(B110="", "", VLOOKUP(B110, DanhSachNhanVien, 2, FALSE))</f>
      </c>
      <c r="Q110" s="0">
        <f>IF(P110="", "", VLOOKUP(P110, DanhSachNhanVien, 2, FALSE))</f>
      </c>
      <c r="Z110" s="0">
        <f>IF(D110="", "", VLOOKUP(D110, DanhSachLoaiQuyetDinhRange, 2, FALSE))</f>
      </c>
      <c r="AA110" s="0">
        <f>IF(I110="", "", VLOOKUP(I110, DanhSachPhongBanRange, 2, FALSE))</f>
      </c>
      <c r="AB110" s="0">
        <f>IF(J110="", "", VLOOKUP(J110, DanhSachChucDanhRange, 2, FALSE))</f>
      </c>
      <c r="AC110" s="0">
        <f>IF(L110="", "", VLOOKUP(L110, ThangLuongData, 2, FALSE))</f>
      </c>
      <c r="AD110" s="0">
        <f>IF(M110="", "", VLOOKUP(M110, NgachLuongData, 2, FALSE))</f>
      </c>
      <c r="AE110" s="0">
        <f>IF(N110="", "", VLOOKUP(N110, BacLuongData, 2, FALSE))</f>
      </c>
      <c r="AF110" s="0">
        <f>IF(P110="", "", VLOOKUP(P110, DanhSachCodeId, 3, FALSE))</f>
      </c>
    </row>
    <row r="111">
      <c r="A111" s="0">
        <f>IF(B111="", "", VLOOKUP(B111, DanhSachCodeId, 3, FALSE))</f>
      </c>
      <c r="C111" s="0">
        <f>IF(B111="", "", VLOOKUP(B111, DanhSachNhanVien, 2, FALSE))</f>
      </c>
      <c r="Q111" s="0">
        <f>IF(P111="", "", VLOOKUP(P111, DanhSachNhanVien, 2, FALSE))</f>
      </c>
      <c r="Z111" s="0">
        <f>IF(D111="", "", VLOOKUP(D111, DanhSachLoaiQuyetDinhRange, 2, FALSE))</f>
      </c>
      <c r="AA111" s="0">
        <f>IF(I111="", "", VLOOKUP(I111, DanhSachPhongBanRange, 2, FALSE))</f>
      </c>
      <c r="AB111" s="0">
        <f>IF(J111="", "", VLOOKUP(J111, DanhSachChucDanhRange, 2, FALSE))</f>
      </c>
      <c r="AC111" s="0">
        <f>IF(L111="", "", VLOOKUP(L111, ThangLuongData, 2, FALSE))</f>
      </c>
      <c r="AD111" s="0">
        <f>IF(M111="", "", VLOOKUP(M111, NgachLuongData, 2, FALSE))</f>
      </c>
      <c r="AE111" s="0">
        <f>IF(N111="", "", VLOOKUP(N111, BacLuongData, 2, FALSE))</f>
      </c>
      <c r="AF111" s="0">
        <f>IF(P111="", "", VLOOKUP(P111, DanhSachCodeId, 3, FALSE))</f>
      </c>
    </row>
    <row r="112">
      <c r="A112" s="0">
        <f>IF(B112="", "", VLOOKUP(B112, DanhSachCodeId, 3, FALSE))</f>
      </c>
      <c r="C112" s="0">
        <f>IF(B112="", "", VLOOKUP(B112, DanhSachNhanVien, 2, FALSE))</f>
      </c>
      <c r="Q112" s="0">
        <f>IF(P112="", "", VLOOKUP(P112, DanhSachNhanVien, 2, FALSE))</f>
      </c>
      <c r="Z112" s="0">
        <f>IF(D112="", "", VLOOKUP(D112, DanhSachLoaiQuyetDinhRange, 2, FALSE))</f>
      </c>
      <c r="AA112" s="0">
        <f>IF(I112="", "", VLOOKUP(I112, DanhSachPhongBanRange, 2, FALSE))</f>
      </c>
      <c r="AB112" s="0">
        <f>IF(J112="", "", VLOOKUP(J112, DanhSachChucDanhRange, 2, FALSE))</f>
      </c>
      <c r="AC112" s="0">
        <f>IF(L112="", "", VLOOKUP(L112, ThangLuongData, 2, FALSE))</f>
      </c>
      <c r="AD112" s="0">
        <f>IF(M112="", "", VLOOKUP(M112, NgachLuongData, 2, FALSE))</f>
      </c>
      <c r="AE112" s="0">
        <f>IF(N112="", "", VLOOKUP(N112, BacLuongData, 2, FALSE))</f>
      </c>
      <c r="AF112" s="0">
        <f>IF(P112="", "", VLOOKUP(P112, DanhSachCodeId, 3, FALSE))</f>
      </c>
    </row>
    <row r="113">
      <c r="A113" s="0">
        <f>IF(B113="", "", VLOOKUP(B113, DanhSachCodeId, 3, FALSE))</f>
      </c>
      <c r="C113" s="0">
        <f>IF(B113="", "", VLOOKUP(B113, DanhSachNhanVien, 2, FALSE))</f>
      </c>
      <c r="Q113" s="0">
        <f>IF(P113="", "", VLOOKUP(P113, DanhSachNhanVien, 2, FALSE))</f>
      </c>
      <c r="Z113" s="0">
        <f>IF(D113="", "", VLOOKUP(D113, DanhSachLoaiQuyetDinhRange, 2, FALSE))</f>
      </c>
      <c r="AA113" s="0">
        <f>IF(I113="", "", VLOOKUP(I113, DanhSachPhongBanRange, 2, FALSE))</f>
      </c>
      <c r="AB113" s="0">
        <f>IF(J113="", "", VLOOKUP(J113, DanhSachChucDanhRange, 2, FALSE))</f>
      </c>
      <c r="AC113" s="0">
        <f>IF(L113="", "", VLOOKUP(L113, ThangLuongData, 2, FALSE))</f>
      </c>
      <c r="AD113" s="0">
        <f>IF(M113="", "", VLOOKUP(M113, NgachLuongData, 2, FALSE))</f>
      </c>
      <c r="AE113" s="0">
        <f>IF(N113="", "", VLOOKUP(N113, BacLuongData, 2, FALSE))</f>
      </c>
      <c r="AF113" s="0">
        <f>IF(P113="", "", VLOOKUP(P113, DanhSachCodeId, 3, FALSE))</f>
      </c>
    </row>
    <row r="114">
      <c r="A114" s="0">
        <f>IF(B114="", "", VLOOKUP(B114, DanhSachCodeId, 3, FALSE))</f>
      </c>
      <c r="C114" s="0">
        <f>IF(B114="", "", VLOOKUP(B114, DanhSachNhanVien, 2, FALSE))</f>
      </c>
      <c r="Q114" s="0">
        <f>IF(P114="", "", VLOOKUP(P114, DanhSachNhanVien, 2, FALSE))</f>
      </c>
      <c r="Z114" s="0">
        <f>IF(D114="", "", VLOOKUP(D114, DanhSachLoaiQuyetDinhRange, 2, FALSE))</f>
      </c>
      <c r="AA114" s="0">
        <f>IF(I114="", "", VLOOKUP(I114, DanhSachPhongBanRange, 2, FALSE))</f>
      </c>
      <c r="AB114" s="0">
        <f>IF(J114="", "", VLOOKUP(J114, DanhSachChucDanhRange, 2, FALSE))</f>
      </c>
      <c r="AC114" s="0">
        <f>IF(L114="", "", VLOOKUP(L114, ThangLuongData, 2, FALSE))</f>
      </c>
      <c r="AD114" s="0">
        <f>IF(M114="", "", VLOOKUP(M114, NgachLuongData, 2, FALSE))</f>
      </c>
      <c r="AE114" s="0">
        <f>IF(N114="", "", VLOOKUP(N114, BacLuongData, 2, FALSE))</f>
      </c>
      <c r="AF114" s="0">
        <f>IF(P114="", "", VLOOKUP(P114, DanhSachCodeId, 3, FALSE))</f>
      </c>
    </row>
    <row r="115">
      <c r="A115" s="0">
        <f>IF(B115="", "", VLOOKUP(B115, DanhSachCodeId, 3, FALSE))</f>
      </c>
      <c r="C115" s="0">
        <f>IF(B115="", "", VLOOKUP(B115, DanhSachNhanVien, 2, FALSE))</f>
      </c>
      <c r="Q115" s="0">
        <f>IF(P115="", "", VLOOKUP(P115, DanhSachNhanVien, 2, FALSE))</f>
      </c>
      <c r="Z115" s="0">
        <f>IF(D115="", "", VLOOKUP(D115, DanhSachLoaiQuyetDinhRange, 2, FALSE))</f>
      </c>
      <c r="AA115" s="0">
        <f>IF(I115="", "", VLOOKUP(I115, DanhSachPhongBanRange, 2, FALSE))</f>
      </c>
      <c r="AB115" s="0">
        <f>IF(J115="", "", VLOOKUP(J115, DanhSachChucDanhRange, 2, FALSE))</f>
      </c>
      <c r="AC115" s="0">
        <f>IF(L115="", "", VLOOKUP(L115, ThangLuongData, 2, FALSE))</f>
      </c>
      <c r="AD115" s="0">
        <f>IF(M115="", "", VLOOKUP(M115, NgachLuongData, 2, FALSE))</f>
      </c>
      <c r="AE115" s="0">
        <f>IF(N115="", "", VLOOKUP(N115, BacLuongData, 2, FALSE))</f>
      </c>
      <c r="AF115" s="0">
        <f>IF(P115="", "", VLOOKUP(P115, DanhSachCodeId, 3, FALSE))</f>
      </c>
    </row>
    <row r="116">
      <c r="A116" s="0">
        <f>IF(B116="", "", VLOOKUP(B116, DanhSachCodeId, 3, FALSE))</f>
      </c>
      <c r="C116" s="0">
        <f>IF(B116="", "", VLOOKUP(B116, DanhSachNhanVien, 2, FALSE))</f>
      </c>
      <c r="Q116" s="0">
        <f>IF(P116="", "", VLOOKUP(P116, DanhSachNhanVien, 2, FALSE))</f>
      </c>
      <c r="Z116" s="0">
        <f>IF(D116="", "", VLOOKUP(D116, DanhSachLoaiQuyetDinhRange, 2, FALSE))</f>
      </c>
      <c r="AA116" s="0">
        <f>IF(I116="", "", VLOOKUP(I116, DanhSachPhongBanRange, 2, FALSE))</f>
      </c>
      <c r="AB116" s="0">
        <f>IF(J116="", "", VLOOKUP(J116, DanhSachChucDanhRange, 2, FALSE))</f>
      </c>
      <c r="AC116" s="0">
        <f>IF(L116="", "", VLOOKUP(L116, ThangLuongData, 2, FALSE))</f>
      </c>
      <c r="AD116" s="0">
        <f>IF(M116="", "", VLOOKUP(M116, NgachLuongData, 2, FALSE))</f>
      </c>
      <c r="AE116" s="0">
        <f>IF(N116="", "", VLOOKUP(N116, BacLuongData, 2, FALSE))</f>
      </c>
      <c r="AF116" s="0">
        <f>IF(P116="", "", VLOOKUP(P116, DanhSachCodeId, 3, FALSE))</f>
      </c>
    </row>
    <row r="117">
      <c r="A117" s="0">
        <f>IF(B117="", "", VLOOKUP(B117, DanhSachCodeId, 3, FALSE))</f>
      </c>
      <c r="C117" s="0">
        <f>IF(B117="", "", VLOOKUP(B117, DanhSachNhanVien, 2, FALSE))</f>
      </c>
      <c r="Q117" s="0">
        <f>IF(P117="", "", VLOOKUP(P117, DanhSachNhanVien, 2, FALSE))</f>
      </c>
      <c r="Z117" s="0">
        <f>IF(D117="", "", VLOOKUP(D117, DanhSachLoaiQuyetDinhRange, 2, FALSE))</f>
      </c>
      <c r="AA117" s="0">
        <f>IF(I117="", "", VLOOKUP(I117, DanhSachPhongBanRange, 2, FALSE))</f>
      </c>
      <c r="AB117" s="0">
        <f>IF(J117="", "", VLOOKUP(J117, DanhSachChucDanhRange, 2, FALSE))</f>
      </c>
      <c r="AC117" s="0">
        <f>IF(L117="", "", VLOOKUP(L117, ThangLuongData, 2, FALSE))</f>
      </c>
      <c r="AD117" s="0">
        <f>IF(M117="", "", VLOOKUP(M117, NgachLuongData, 2, FALSE))</f>
      </c>
      <c r="AE117" s="0">
        <f>IF(N117="", "", VLOOKUP(N117, BacLuongData, 2, FALSE))</f>
      </c>
      <c r="AF117" s="0">
        <f>IF(P117="", "", VLOOKUP(P117, DanhSachCodeId, 3, FALSE))</f>
      </c>
    </row>
    <row r="118">
      <c r="A118" s="0">
        <f>IF(B118="", "", VLOOKUP(B118, DanhSachCodeId, 3, FALSE))</f>
      </c>
      <c r="C118" s="0">
        <f>IF(B118="", "", VLOOKUP(B118, DanhSachNhanVien, 2, FALSE))</f>
      </c>
      <c r="Q118" s="0">
        <f>IF(P118="", "", VLOOKUP(P118, DanhSachNhanVien, 2, FALSE))</f>
      </c>
      <c r="Z118" s="0">
        <f>IF(D118="", "", VLOOKUP(D118, DanhSachLoaiQuyetDinhRange, 2, FALSE))</f>
      </c>
      <c r="AA118" s="0">
        <f>IF(I118="", "", VLOOKUP(I118, DanhSachPhongBanRange, 2, FALSE))</f>
      </c>
      <c r="AB118" s="0">
        <f>IF(J118="", "", VLOOKUP(J118, DanhSachChucDanhRange, 2, FALSE))</f>
      </c>
      <c r="AC118" s="0">
        <f>IF(L118="", "", VLOOKUP(L118, ThangLuongData, 2, FALSE))</f>
      </c>
      <c r="AD118" s="0">
        <f>IF(M118="", "", VLOOKUP(M118, NgachLuongData, 2, FALSE))</f>
      </c>
      <c r="AE118" s="0">
        <f>IF(N118="", "", VLOOKUP(N118, BacLuongData, 2, FALSE))</f>
      </c>
      <c r="AF118" s="0">
        <f>IF(P118="", "", VLOOKUP(P118, DanhSachCodeId, 3, FALSE))</f>
      </c>
    </row>
    <row r="119">
      <c r="A119" s="0">
        <f>IF(B119="", "", VLOOKUP(B119, DanhSachCodeId, 3, FALSE))</f>
      </c>
      <c r="C119" s="0">
        <f>IF(B119="", "", VLOOKUP(B119, DanhSachNhanVien, 2, FALSE))</f>
      </c>
      <c r="Q119" s="0">
        <f>IF(P119="", "", VLOOKUP(P119, DanhSachNhanVien, 2, FALSE))</f>
      </c>
      <c r="Z119" s="0">
        <f>IF(D119="", "", VLOOKUP(D119, DanhSachLoaiQuyetDinhRange, 2, FALSE))</f>
      </c>
      <c r="AA119" s="0">
        <f>IF(I119="", "", VLOOKUP(I119, DanhSachPhongBanRange, 2, FALSE))</f>
      </c>
      <c r="AB119" s="0">
        <f>IF(J119="", "", VLOOKUP(J119, DanhSachChucDanhRange, 2, FALSE))</f>
      </c>
      <c r="AC119" s="0">
        <f>IF(L119="", "", VLOOKUP(L119, ThangLuongData, 2, FALSE))</f>
      </c>
      <c r="AD119" s="0">
        <f>IF(M119="", "", VLOOKUP(M119, NgachLuongData, 2, FALSE))</f>
      </c>
      <c r="AE119" s="0">
        <f>IF(N119="", "", VLOOKUP(N119, BacLuongData, 2, FALSE))</f>
      </c>
      <c r="AF119" s="0">
        <f>IF(P119="", "", VLOOKUP(P119, DanhSachCodeId, 3, FALSE))</f>
      </c>
    </row>
    <row r="120">
      <c r="A120" s="0">
        <f>IF(B120="", "", VLOOKUP(B120, DanhSachCodeId, 3, FALSE))</f>
      </c>
      <c r="C120" s="0">
        <f>IF(B120="", "", VLOOKUP(B120, DanhSachNhanVien, 2, FALSE))</f>
      </c>
      <c r="Q120" s="0">
        <f>IF(P120="", "", VLOOKUP(P120, DanhSachNhanVien, 2, FALSE))</f>
      </c>
      <c r="Z120" s="0">
        <f>IF(D120="", "", VLOOKUP(D120, DanhSachLoaiQuyetDinhRange, 2, FALSE))</f>
      </c>
      <c r="AA120" s="0">
        <f>IF(I120="", "", VLOOKUP(I120, DanhSachPhongBanRange, 2, FALSE))</f>
      </c>
      <c r="AB120" s="0">
        <f>IF(J120="", "", VLOOKUP(J120, DanhSachChucDanhRange, 2, FALSE))</f>
      </c>
      <c r="AC120" s="0">
        <f>IF(L120="", "", VLOOKUP(L120, ThangLuongData, 2, FALSE))</f>
      </c>
      <c r="AD120" s="0">
        <f>IF(M120="", "", VLOOKUP(M120, NgachLuongData, 2, FALSE))</f>
      </c>
      <c r="AE120" s="0">
        <f>IF(N120="", "", VLOOKUP(N120, BacLuongData, 2, FALSE))</f>
      </c>
      <c r="AF120" s="0">
        <f>IF(P120="", "", VLOOKUP(P120, DanhSachCodeId, 3, FALSE))</f>
      </c>
    </row>
    <row r="121">
      <c r="A121" s="0">
        <f>IF(B121="", "", VLOOKUP(B121, DanhSachCodeId, 3, FALSE))</f>
      </c>
      <c r="C121" s="0">
        <f>IF(B121="", "", VLOOKUP(B121, DanhSachNhanVien, 2, FALSE))</f>
      </c>
      <c r="Q121" s="0">
        <f>IF(P121="", "", VLOOKUP(P121, DanhSachNhanVien, 2, FALSE))</f>
      </c>
      <c r="Z121" s="0">
        <f>IF(D121="", "", VLOOKUP(D121, DanhSachLoaiQuyetDinhRange, 2, FALSE))</f>
      </c>
      <c r="AA121" s="0">
        <f>IF(I121="", "", VLOOKUP(I121, DanhSachPhongBanRange, 2, FALSE))</f>
      </c>
      <c r="AB121" s="0">
        <f>IF(J121="", "", VLOOKUP(J121, DanhSachChucDanhRange, 2, FALSE))</f>
      </c>
      <c r="AC121" s="0">
        <f>IF(L121="", "", VLOOKUP(L121, ThangLuongData, 2, FALSE))</f>
      </c>
      <c r="AD121" s="0">
        <f>IF(M121="", "", VLOOKUP(M121, NgachLuongData, 2, FALSE))</f>
      </c>
      <c r="AE121" s="0">
        <f>IF(N121="", "", VLOOKUP(N121, BacLuongData, 2, FALSE))</f>
      </c>
      <c r="AF121" s="0">
        <f>IF(P121="", "", VLOOKUP(P121, DanhSachCodeId, 3, FALSE))</f>
      </c>
    </row>
    <row r="122">
      <c r="A122" s="0">
        <f>IF(B122="", "", VLOOKUP(B122, DanhSachCodeId, 3, FALSE))</f>
      </c>
      <c r="C122" s="0">
        <f>IF(B122="", "", VLOOKUP(B122, DanhSachNhanVien, 2, FALSE))</f>
      </c>
      <c r="Q122" s="0">
        <f>IF(P122="", "", VLOOKUP(P122, DanhSachNhanVien, 2, FALSE))</f>
      </c>
      <c r="Z122" s="0">
        <f>IF(D122="", "", VLOOKUP(D122, DanhSachLoaiQuyetDinhRange, 2, FALSE))</f>
      </c>
      <c r="AA122" s="0">
        <f>IF(I122="", "", VLOOKUP(I122, DanhSachPhongBanRange, 2, FALSE))</f>
      </c>
      <c r="AB122" s="0">
        <f>IF(J122="", "", VLOOKUP(J122, DanhSachChucDanhRange, 2, FALSE))</f>
      </c>
      <c r="AC122" s="0">
        <f>IF(L122="", "", VLOOKUP(L122, ThangLuongData, 2, FALSE))</f>
      </c>
      <c r="AD122" s="0">
        <f>IF(M122="", "", VLOOKUP(M122, NgachLuongData, 2, FALSE))</f>
      </c>
      <c r="AE122" s="0">
        <f>IF(N122="", "", VLOOKUP(N122, BacLuongData, 2, FALSE))</f>
      </c>
      <c r="AF122" s="0">
        <f>IF(P122="", "", VLOOKUP(P122, DanhSachCodeId, 3, FALSE))</f>
      </c>
    </row>
    <row r="123">
      <c r="A123" s="0">
        <f>IF(B123="", "", VLOOKUP(B123, DanhSachCodeId, 3, FALSE))</f>
      </c>
      <c r="C123" s="0">
        <f>IF(B123="", "", VLOOKUP(B123, DanhSachNhanVien, 2, FALSE))</f>
      </c>
      <c r="Q123" s="0">
        <f>IF(P123="", "", VLOOKUP(P123, DanhSachNhanVien, 2, FALSE))</f>
      </c>
      <c r="Z123" s="0">
        <f>IF(D123="", "", VLOOKUP(D123, DanhSachLoaiQuyetDinhRange, 2, FALSE))</f>
      </c>
      <c r="AA123" s="0">
        <f>IF(I123="", "", VLOOKUP(I123, DanhSachPhongBanRange, 2, FALSE))</f>
      </c>
      <c r="AB123" s="0">
        <f>IF(J123="", "", VLOOKUP(J123, DanhSachChucDanhRange, 2, FALSE))</f>
      </c>
      <c r="AC123" s="0">
        <f>IF(L123="", "", VLOOKUP(L123, ThangLuongData, 2, FALSE))</f>
      </c>
      <c r="AD123" s="0">
        <f>IF(M123="", "", VLOOKUP(M123, NgachLuongData, 2, FALSE))</f>
      </c>
      <c r="AE123" s="0">
        <f>IF(N123="", "", VLOOKUP(N123, BacLuongData, 2, FALSE))</f>
      </c>
      <c r="AF123" s="0">
        <f>IF(P123="", "", VLOOKUP(P123, DanhSachCodeId, 3, FALSE))</f>
      </c>
    </row>
    <row r="124">
      <c r="A124" s="0">
        <f>IF(B124="", "", VLOOKUP(B124, DanhSachCodeId, 3, FALSE))</f>
      </c>
      <c r="C124" s="0">
        <f>IF(B124="", "", VLOOKUP(B124, DanhSachNhanVien, 2, FALSE))</f>
      </c>
      <c r="Q124" s="0">
        <f>IF(P124="", "", VLOOKUP(P124, DanhSachNhanVien, 2, FALSE))</f>
      </c>
      <c r="Z124" s="0">
        <f>IF(D124="", "", VLOOKUP(D124, DanhSachLoaiQuyetDinhRange, 2, FALSE))</f>
      </c>
      <c r="AA124" s="0">
        <f>IF(I124="", "", VLOOKUP(I124, DanhSachPhongBanRange, 2, FALSE))</f>
      </c>
      <c r="AB124" s="0">
        <f>IF(J124="", "", VLOOKUP(J124, DanhSachChucDanhRange, 2, FALSE))</f>
      </c>
      <c r="AC124" s="0">
        <f>IF(L124="", "", VLOOKUP(L124, ThangLuongData, 2, FALSE))</f>
      </c>
      <c r="AD124" s="0">
        <f>IF(M124="", "", VLOOKUP(M124, NgachLuongData, 2, FALSE))</f>
      </c>
      <c r="AE124" s="0">
        <f>IF(N124="", "", VLOOKUP(N124, BacLuongData, 2, FALSE))</f>
      </c>
      <c r="AF124" s="0">
        <f>IF(P124="", "", VLOOKUP(P124, DanhSachCodeId, 3, FALSE))</f>
      </c>
    </row>
    <row r="125">
      <c r="A125" s="0">
        <f>IF(B125="", "", VLOOKUP(B125, DanhSachCodeId, 3, FALSE))</f>
      </c>
      <c r="C125" s="0">
        <f>IF(B125="", "", VLOOKUP(B125, DanhSachNhanVien, 2, FALSE))</f>
      </c>
      <c r="Q125" s="0">
        <f>IF(P125="", "", VLOOKUP(P125, DanhSachNhanVien, 2, FALSE))</f>
      </c>
      <c r="Z125" s="0">
        <f>IF(D125="", "", VLOOKUP(D125, DanhSachLoaiQuyetDinhRange, 2, FALSE))</f>
      </c>
      <c r="AA125" s="0">
        <f>IF(I125="", "", VLOOKUP(I125, DanhSachPhongBanRange, 2, FALSE))</f>
      </c>
      <c r="AB125" s="0">
        <f>IF(J125="", "", VLOOKUP(J125, DanhSachChucDanhRange, 2, FALSE))</f>
      </c>
      <c r="AC125" s="0">
        <f>IF(L125="", "", VLOOKUP(L125, ThangLuongData, 2, FALSE))</f>
      </c>
      <c r="AD125" s="0">
        <f>IF(M125="", "", VLOOKUP(M125, NgachLuongData, 2, FALSE))</f>
      </c>
      <c r="AE125" s="0">
        <f>IF(N125="", "", VLOOKUP(N125, BacLuongData, 2, FALSE))</f>
      </c>
      <c r="AF125" s="0">
        <f>IF(P125="", "", VLOOKUP(P125, DanhSachCodeId, 3, FALSE))</f>
      </c>
    </row>
    <row r="126">
      <c r="A126" s="0">
        <f>IF(B126="", "", VLOOKUP(B126, DanhSachCodeId, 3, FALSE))</f>
      </c>
      <c r="C126" s="0">
        <f>IF(B126="", "", VLOOKUP(B126, DanhSachNhanVien, 2, FALSE))</f>
      </c>
      <c r="Q126" s="0">
        <f>IF(P126="", "", VLOOKUP(P126, DanhSachNhanVien, 2, FALSE))</f>
      </c>
      <c r="Z126" s="0">
        <f>IF(D126="", "", VLOOKUP(D126, DanhSachLoaiQuyetDinhRange, 2, FALSE))</f>
      </c>
      <c r="AA126" s="0">
        <f>IF(I126="", "", VLOOKUP(I126, DanhSachPhongBanRange, 2, FALSE))</f>
      </c>
      <c r="AB126" s="0">
        <f>IF(J126="", "", VLOOKUP(J126, DanhSachChucDanhRange, 2, FALSE))</f>
      </c>
      <c r="AC126" s="0">
        <f>IF(L126="", "", VLOOKUP(L126, ThangLuongData, 2, FALSE))</f>
      </c>
      <c r="AD126" s="0">
        <f>IF(M126="", "", VLOOKUP(M126, NgachLuongData, 2, FALSE))</f>
      </c>
      <c r="AE126" s="0">
        <f>IF(N126="", "", VLOOKUP(N126, BacLuongData, 2, FALSE))</f>
      </c>
      <c r="AF126" s="0">
        <f>IF(P126="", "", VLOOKUP(P126, DanhSachCodeId, 3, FALSE))</f>
      </c>
    </row>
    <row r="127">
      <c r="A127" s="0">
        <f>IF(B127="", "", VLOOKUP(B127, DanhSachCodeId, 3, FALSE))</f>
      </c>
      <c r="C127" s="0">
        <f>IF(B127="", "", VLOOKUP(B127, DanhSachNhanVien, 2, FALSE))</f>
      </c>
      <c r="Q127" s="0">
        <f>IF(P127="", "", VLOOKUP(P127, DanhSachNhanVien, 2, FALSE))</f>
      </c>
      <c r="Z127" s="0">
        <f>IF(D127="", "", VLOOKUP(D127, DanhSachLoaiQuyetDinhRange, 2, FALSE))</f>
      </c>
      <c r="AA127" s="0">
        <f>IF(I127="", "", VLOOKUP(I127, DanhSachPhongBanRange, 2, FALSE))</f>
      </c>
      <c r="AB127" s="0">
        <f>IF(J127="", "", VLOOKUP(J127, DanhSachChucDanhRange, 2, FALSE))</f>
      </c>
      <c r="AC127" s="0">
        <f>IF(L127="", "", VLOOKUP(L127, ThangLuongData, 2, FALSE))</f>
      </c>
      <c r="AD127" s="0">
        <f>IF(M127="", "", VLOOKUP(M127, NgachLuongData, 2, FALSE))</f>
      </c>
      <c r="AE127" s="0">
        <f>IF(N127="", "", VLOOKUP(N127, BacLuongData, 2, FALSE))</f>
      </c>
      <c r="AF127" s="0">
        <f>IF(P127="", "", VLOOKUP(P127, DanhSachCodeId, 3, FALSE))</f>
      </c>
    </row>
    <row r="128">
      <c r="A128" s="0">
        <f>IF(B128="", "", VLOOKUP(B128, DanhSachCodeId, 3, FALSE))</f>
      </c>
      <c r="C128" s="0">
        <f>IF(B128="", "", VLOOKUP(B128, DanhSachNhanVien, 2, FALSE))</f>
      </c>
      <c r="Q128" s="0">
        <f>IF(P128="", "", VLOOKUP(P128, DanhSachNhanVien, 2, FALSE))</f>
      </c>
      <c r="Z128" s="0">
        <f>IF(D128="", "", VLOOKUP(D128, DanhSachLoaiQuyetDinhRange, 2, FALSE))</f>
      </c>
      <c r="AA128" s="0">
        <f>IF(I128="", "", VLOOKUP(I128, DanhSachPhongBanRange, 2, FALSE))</f>
      </c>
      <c r="AB128" s="0">
        <f>IF(J128="", "", VLOOKUP(J128, DanhSachChucDanhRange, 2, FALSE))</f>
      </c>
      <c r="AC128" s="0">
        <f>IF(L128="", "", VLOOKUP(L128, ThangLuongData, 2, FALSE))</f>
      </c>
      <c r="AD128" s="0">
        <f>IF(M128="", "", VLOOKUP(M128, NgachLuongData, 2, FALSE))</f>
      </c>
      <c r="AE128" s="0">
        <f>IF(N128="", "", VLOOKUP(N128, BacLuongData, 2, FALSE))</f>
      </c>
      <c r="AF128" s="0">
        <f>IF(P128="", "", VLOOKUP(P128, DanhSachCodeId, 3, FALSE))</f>
      </c>
    </row>
    <row r="129">
      <c r="A129" s="0">
        <f>IF(B129="", "", VLOOKUP(B129, DanhSachCodeId, 3, FALSE))</f>
      </c>
      <c r="C129" s="0">
        <f>IF(B129="", "", VLOOKUP(B129, DanhSachNhanVien, 2, FALSE))</f>
      </c>
      <c r="Q129" s="0">
        <f>IF(P129="", "", VLOOKUP(P129, DanhSachNhanVien, 2, FALSE))</f>
      </c>
      <c r="Z129" s="0">
        <f>IF(D129="", "", VLOOKUP(D129, DanhSachLoaiQuyetDinhRange, 2, FALSE))</f>
      </c>
      <c r="AA129" s="0">
        <f>IF(I129="", "", VLOOKUP(I129, DanhSachPhongBanRange, 2, FALSE))</f>
      </c>
      <c r="AB129" s="0">
        <f>IF(J129="", "", VLOOKUP(J129, DanhSachChucDanhRange, 2, FALSE))</f>
      </c>
      <c r="AC129" s="0">
        <f>IF(L129="", "", VLOOKUP(L129, ThangLuongData, 2, FALSE))</f>
      </c>
      <c r="AD129" s="0">
        <f>IF(M129="", "", VLOOKUP(M129, NgachLuongData, 2, FALSE))</f>
      </c>
      <c r="AE129" s="0">
        <f>IF(N129="", "", VLOOKUP(N129, BacLuongData, 2, FALSE))</f>
      </c>
      <c r="AF129" s="0">
        <f>IF(P129="", "", VLOOKUP(P129, DanhSachCodeId, 3, FALSE))</f>
      </c>
    </row>
    <row r="130">
      <c r="A130" s="0">
        <f>IF(B130="", "", VLOOKUP(B130, DanhSachCodeId, 3, FALSE))</f>
      </c>
      <c r="C130" s="0">
        <f>IF(B130="", "", VLOOKUP(B130, DanhSachNhanVien, 2, FALSE))</f>
      </c>
      <c r="Q130" s="0">
        <f>IF(P130="", "", VLOOKUP(P130, DanhSachNhanVien, 2, FALSE))</f>
      </c>
      <c r="Z130" s="0">
        <f>IF(D130="", "", VLOOKUP(D130, DanhSachLoaiQuyetDinhRange, 2, FALSE))</f>
      </c>
      <c r="AA130" s="0">
        <f>IF(I130="", "", VLOOKUP(I130, DanhSachPhongBanRange, 2, FALSE))</f>
      </c>
      <c r="AB130" s="0">
        <f>IF(J130="", "", VLOOKUP(J130, DanhSachChucDanhRange, 2, FALSE))</f>
      </c>
      <c r="AC130" s="0">
        <f>IF(L130="", "", VLOOKUP(L130, ThangLuongData, 2, FALSE))</f>
      </c>
      <c r="AD130" s="0">
        <f>IF(M130="", "", VLOOKUP(M130, NgachLuongData, 2, FALSE))</f>
      </c>
      <c r="AE130" s="0">
        <f>IF(N130="", "", VLOOKUP(N130, BacLuongData, 2, FALSE))</f>
      </c>
      <c r="AF130" s="0">
        <f>IF(P130="", "", VLOOKUP(P130, DanhSachCodeId, 3, FALSE))</f>
      </c>
    </row>
    <row r="131">
      <c r="A131" s="0">
        <f>IF(B131="", "", VLOOKUP(B131, DanhSachCodeId, 3, FALSE))</f>
      </c>
      <c r="C131" s="0">
        <f>IF(B131="", "", VLOOKUP(B131, DanhSachNhanVien, 2, FALSE))</f>
      </c>
      <c r="Q131" s="0">
        <f>IF(P131="", "", VLOOKUP(P131, DanhSachNhanVien, 2, FALSE))</f>
      </c>
      <c r="Z131" s="0">
        <f>IF(D131="", "", VLOOKUP(D131, DanhSachLoaiQuyetDinhRange, 2, FALSE))</f>
      </c>
      <c r="AA131" s="0">
        <f>IF(I131="", "", VLOOKUP(I131, DanhSachPhongBanRange, 2, FALSE))</f>
      </c>
      <c r="AB131" s="0">
        <f>IF(J131="", "", VLOOKUP(J131, DanhSachChucDanhRange, 2, FALSE))</f>
      </c>
      <c r="AC131" s="0">
        <f>IF(L131="", "", VLOOKUP(L131, ThangLuongData, 2, FALSE))</f>
      </c>
      <c r="AD131" s="0">
        <f>IF(M131="", "", VLOOKUP(M131, NgachLuongData, 2, FALSE))</f>
      </c>
      <c r="AE131" s="0">
        <f>IF(N131="", "", VLOOKUP(N131, BacLuongData, 2, FALSE))</f>
      </c>
      <c r="AF131" s="0">
        <f>IF(P131="", "", VLOOKUP(P131, DanhSachCodeId, 3, FALSE))</f>
      </c>
    </row>
    <row r="132">
      <c r="A132" s="0">
        <f>IF(B132="", "", VLOOKUP(B132, DanhSachCodeId, 3, FALSE))</f>
      </c>
      <c r="C132" s="0">
        <f>IF(B132="", "", VLOOKUP(B132, DanhSachNhanVien, 2, FALSE))</f>
      </c>
      <c r="Q132" s="0">
        <f>IF(P132="", "", VLOOKUP(P132, DanhSachNhanVien, 2, FALSE))</f>
      </c>
      <c r="Z132" s="0">
        <f>IF(D132="", "", VLOOKUP(D132, DanhSachLoaiQuyetDinhRange, 2, FALSE))</f>
      </c>
      <c r="AA132" s="0">
        <f>IF(I132="", "", VLOOKUP(I132, DanhSachPhongBanRange, 2, FALSE))</f>
      </c>
      <c r="AB132" s="0">
        <f>IF(J132="", "", VLOOKUP(J132, DanhSachChucDanhRange, 2, FALSE))</f>
      </c>
      <c r="AC132" s="0">
        <f>IF(L132="", "", VLOOKUP(L132, ThangLuongData, 2, FALSE))</f>
      </c>
      <c r="AD132" s="0">
        <f>IF(M132="", "", VLOOKUP(M132, NgachLuongData, 2, FALSE))</f>
      </c>
      <c r="AE132" s="0">
        <f>IF(N132="", "", VLOOKUP(N132, BacLuongData, 2, FALSE))</f>
      </c>
      <c r="AF132" s="0">
        <f>IF(P132="", "", VLOOKUP(P132, DanhSachCodeId, 3, FALSE))</f>
      </c>
    </row>
    <row r="133">
      <c r="A133" s="0">
        <f>IF(B133="", "", VLOOKUP(B133, DanhSachCodeId, 3, FALSE))</f>
      </c>
      <c r="C133" s="0">
        <f>IF(B133="", "", VLOOKUP(B133, DanhSachNhanVien, 2, FALSE))</f>
      </c>
      <c r="Q133" s="0">
        <f>IF(P133="", "", VLOOKUP(P133, DanhSachNhanVien, 2, FALSE))</f>
      </c>
      <c r="Z133" s="0">
        <f>IF(D133="", "", VLOOKUP(D133, DanhSachLoaiQuyetDinhRange, 2, FALSE))</f>
      </c>
      <c r="AA133" s="0">
        <f>IF(I133="", "", VLOOKUP(I133, DanhSachPhongBanRange, 2, FALSE))</f>
      </c>
      <c r="AB133" s="0">
        <f>IF(J133="", "", VLOOKUP(J133, DanhSachChucDanhRange, 2, FALSE))</f>
      </c>
      <c r="AC133" s="0">
        <f>IF(L133="", "", VLOOKUP(L133, ThangLuongData, 2, FALSE))</f>
      </c>
      <c r="AD133" s="0">
        <f>IF(M133="", "", VLOOKUP(M133, NgachLuongData, 2, FALSE))</f>
      </c>
      <c r="AE133" s="0">
        <f>IF(N133="", "", VLOOKUP(N133, BacLuongData, 2, FALSE))</f>
      </c>
      <c r="AF133" s="0">
        <f>IF(P133="", "", VLOOKUP(P133, DanhSachCodeId, 3, FALSE))</f>
      </c>
    </row>
    <row r="134">
      <c r="A134" s="0">
        <f>IF(B134="", "", VLOOKUP(B134, DanhSachCodeId, 3, FALSE))</f>
      </c>
      <c r="C134" s="0">
        <f>IF(B134="", "", VLOOKUP(B134, DanhSachNhanVien, 2, FALSE))</f>
      </c>
      <c r="Q134" s="0">
        <f>IF(P134="", "", VLOOKUP(P134, DanhSachNhanVien, 2, FALSE))</f>
      </c>
      <c r="Z134" s="0">
        <f>IF(D134="", "", VLOOKUP(D134, DanhSachLoaiQuyetDinhRange, 2, FALSE))</f>
      </c>
      <c r="AA134" s="0">
        <f>IF(I134="", "", VLOOKUP(I134, DanhSachPhongBanRange, 2, FALSE))</f>
      </c>
      <c r="AB134" s="0">
        <f>IF(J134="", "", VLOOKUP(J134, DanhSachChucDanhRange, 2, FALSE))</f>
      </c>
      <c r="AC134" s="0">
        <f>IF(L134="", "", VLOOKUP(L134, ThangLuongData, 2, FALSE))</f>
      </c>
      <c r="AD134" s="0">
        <f>IF(M134="", "", VLOOKUP(M134, NgachLuongData, 2, FALSE))</f>
      </c>
      <c r="AE134" s="0">
        <f>IF(N134="", "", VLOOKUP(N134, BacLuongData, 2, FALSE))</f>
      </c>
      <c r="AF134" s="0">
        <f>IF(P134="", "", VLOOKUP(P134, DanhSachCodeId, 3, FALSE))</f>
      </c>
    </row>
    <row r="135">
      <c r="A135" s="0">
        <f>IF(B135="", "", VLOOKUP(B135, DanhSachCodeId, 3, FALSE))</f>
      </c>
      <c r="C135" s="0">
        <f>IF(B135="", "", VLOOKUP(B135, DanhSachNhanVien, 2, FALSE))</f>
      </c>
      <c r="Q135" s="0">
        <f>IF(P135="", "", VLOOKUP(P135, DanhSachNhanVien, 2, FALSE))</f>
      </c>
      <c r="Z135" s="0">
        <f>IF(D135="", "", VLOOKUP(D135, DanhSachLoaiQuyetDinhRange, 2, FALSE))</f>
      </c>
      <c r="AA135" s="0">
        <f>IF(I135="", "", VLOOKUP(I135, DanhSachPhongBanRange, 2, FALSE))</f>
      </c>
      <c r="AB135" s="0">
        <f>IF(J135="", "", VLOOKUP(J135, DanhSachChucDanhRange, 2, FALSE))</f>
      </c>
      <c r="AC135" s="0">
        <f>IF(L135="", "", VLOOKUP(L135, ThangLuongData, 2, FALSE))</f>
      </c>
      <c r="AD135" s="0">
        <f>IF(M135="", "", VLOOKUP(M135, NgachLuongData, 2, FALSE))</f>
      </c>
      <c r="AE135" s="0">
        <f>IF(N135="", "", VLOOKUP(N135, BacLuongData, 2, FALSE))</f>
      </c>
      <c r="AF135" s="0">
        <f>IF(P135="", "", VLOOKUP(P135, DanhSachCodeId, 3, FALSE))</f>
      </c>
    </row>
    <row r="136">
      <c r="A136" s="0">
        <f>IF(B136="", "", VLOOKUP(B136, DanhSachCodeId, 3, FALSE))</f>
      </c>
      <c r="C136" s="0">
        <f>IF(B136="", "", VLOOKUP(B136, DanhSachNhanVien, 2, FALSE))</f>
      </c>
      <c r="Q136" s="0">
        <f>IF(P136="", "", VLOOKUP(P136, DanhSachNhanVien, 2, FALSE))</f>
      </c>
      <c r="Z136" s="0">
        <f>IF(D136="", "", VLOOKUP(D136, DanhSachLoaiQuyetDinhRange, 2, FALSE))</f>
      </c>
      <c r="AA136" s="0">
        <f>IF(I136="", "", VLOOKUP(I136, DanhSachPhongBanRange, 2, FALSE))</f>
      </c>
      <c r="AB136" s="0">
        <f>IF(J136="", "", VLOOKUP(J136, DanhSachChucDanhRange, 2, FALSE))</f>
      </c>
      <c r="AC136" s="0">
        <f>IF(L136="", "", VLOOKUP(L136, ThangLuongData, 2, FALSE))</f>
      </c>
      <c r="AD136" s="0">
        <f>IF(M136="", "", VLOOKUP(M136, NgachLuongData, 2, FALSE))</f>
      </c>
      <c r="AE136" s="0">
        <f>IF(N136="", "", VLOOKUP(N136, BacLuongData, 2, FALSE))</f>
      </c>
      <c r="AF136" s="0">
        <f>IF(P136="", "", VLOOKUP(P136, DanhSachCodeId, 3, FALSE))</f>
      </c>
    </row>
    <row r="137">
      <c r="A137" s="0">
        <f>IF(B137="", "", VLOOKUP(B137, DanhSachCodeId, 3, FALSE))</f>
      </c>
      <c r="C137" s="0">
        <f>IF(B137="", "", VLOOKUP(B137, DanhSachNhanVien, 2, FALSE))</f>
      </c>
      <c r="Q137" s="0">
        <f>IF(P137="", "", VLOOKUP(P137, DanhSachNhanVien, 2, FALSE))</f>
      </c>
      <c r="Z137" s="0">
        <f>IF(D137="", "", VLOOKUP(D137, DanhSachLoaiQuyetDinhRange, 2, FALSE))</f>
      </c>
      <c r="AA137" s="0">
        <f>IF(I137="", "", VLOOKUP(I137, DanhSachPhongBanRange, 2, FALSE))</f>
      </c>
      <c r="AB137" s="0">
        <f>IF(J137="", "", VLOOKUP(J137, DanhSachChucDanhRange, 2, FALSE))</f>
      </c>
      <c r="AC137" s="0">
        <f>IF(L137="", "", VLOOKUP(L137, ThangLuongData, 2, FALSE))</f>
      </c>
      <c r="AD137" s="0">
        <f>IF(M137="", "", VLOOKUP(M137, NgachLuongData, 2, FALSE))</f>
      </c>
      <c r="AE137" s="0">
        <f>IF(N137="", "", VLOOKUP(N137, BacLuongData, 2, FALSE))</f>
      </c>
      <c r="AF137" s="0">
        <f>IF(P137="", "", VLOOKUP(P137, DanhSachCodeId, 3, FALSE))</f>
      </c>
    </row>
    <row r="138">
      <c r="A138" s="0">
        <f>IF(B138="", "", VLOOKUP(B138, DanhSachCodeId, 3, FALSE))</f>
      </c>
      <c r="C138" s="0">
        <f>IF(B138="", "", VLOOKUP(B138, DanhSachNhanVien, 2, FALSE))</f>
      </c>
      <c r="Q138" s="0">
        <f>IF(P138="", "", VLOOKUP(P138, DanhSachNhanVien, 2, FALSE))</f>
      </c>
      <c r="Z138" s="0">
        <f>IF(D138="", "", VLOOKUP(D138, DanhSachLoaiQuyetDinhRange, 2, FALSE))</f>
      </c>
      <c r="AA138" s="0">
        <f>IF(I138="", "", VLOOKUP(I138, DanhSachPhongBanRange, 2, FALSE))</f>
      </c>
      <c r="AB138" s="0">
        <f>IF(J138="", "", VLOOKUP(J138, DanhSachChucDanhRange, 2, FALSE))</f>
      </c>
      <c r="AC138" s="0">
        <f>IF(L138="", "", VLOOKUP(L138, ThangLuongData, 2, FALSE))</f>
      </c>
      <c r="AD138" s="0">
        <f>IF(M138="", "", VLOOKUP(M138, NgachLuongData, 2, FALSE))</f>
      </c>
      <c r="AE138" s="0">
        <f>IF(N138="", "", VLOOKUP(N138, BacLuongData, 2, FALSE))</f>
      </c>
      <c r="AF138" s="0">
        <f>IF(P138="", "", VLOOKUP(P138, DanhSachCodeId, 3, FALSE))</f>
      </c>
    </row>
    <row r="139">
      <c r="A139" s="0">
        <f>IF(B139="", "", VLOOKUP(B139, DanhSachCodeId, 3, FALSE))</f>
      </c>
      <c r="C139" s="0">
        <f>IF(B139="", "", VLOOKUP(B139, DanhSachNhanVien, 2, FALSE))</f>
      </c>
      <c r="Q139" s="0">
        <f>IF(P139="", "", VLOOKUP(P139, DanhSachNhanVien, 2, FALSE))</f>
      </c>
      <c r="Z139" s="0">
        <f>IF(D139="", "", VLOOKUP(D139, DanhSachLoaiQuyetDinhRange, 2, FALSE))</f>
      </c>
      <c r="AA139" s="0">
        <f>IF(I139="", "", VLOOKUP(I139, DanhSachPhongBanRange, 2, FALSE))</f>
      </c>
      <c r="AB139" s="0">
        <f>IF(J139="", "", VLOOKUP(J139, DanhSachChucDanhRange, 2, FALSE))</f>
      </c>
      <c r="AC139" s="0">
        <f>IF(L139="", "", VLOOKUP(L139, ThangLuongData, 2, FALSE))</f>
      </c>
      <c r="AD139" s="0">
        <f>IF(M139="", "", VLOOKUP(M139, NgachLuongData, 2, FALSE))</f>
      </c>
      <c r="AE139" s="0">
        <f>IF(N139="", "", VLOOKUP(N139, BacLuongData, 2, FALSE))</f>
      </c>
      <c r="AF139" s="0">
        <f>IF(P139="", "", VLOOKUP(P139, DanhSachCodeId, 3, FALSE))</f>
      </c>
    </row>
    <row r="140">
      <c r="A140" s="0">
        <f>IF(B140="", "", VLOOKUP(B140, DanhSachCodeId, 3, FALSE))</f>
      </c>
      <c r="C140" s="0">
        <f>IF(B140="", "", VLOOKUP(B140, DanhSachNhanVien, 2, FALSE))</f>
      </c>
      <c r="Q140" s="0">
        <f>IF(P140="", "", VLOOKUP(P140, DanhSachNhanVien, 2, FALSE))</f>
      </c>
      <c r="Z140" s="0">
        <f>IF(D140="", "", VLOOKUP(D140, DanhSachLoaiQuyetDinhRange, 2, FALSE))</f>
      </c>
      <c r="AA140" s="0">
        <f>IF(I140="", "", VLOOKUP(I140, DanhSachPhongBanRange, 2, FALSE))</f>
      </c>
      <c r="AB140" s="0">
        <f>IF(J140="", "", VLOOKUP(J140, DanhSachChucDanhRange, 2, FALSE))</f>
      </c>
      <c r="AC140" s="0">
        <f>IF(L140="", "", VLOOKUP(L140, ThangLuongData, 2, FALSE))</f>
      </c>
      <c r="AD140" s="0">
        <f>IF(M140="", "", VLOOKUP(M140, NgachLuongData, 2, FALSE))</f>
      </c>
      <c r="AE140" s="0">
        <f>IF(N140="", "", VLOOKUP(N140, BacLuongData, 2, FALSE))</f>
      </c>
      <c r="AF140" s="0">
        <f>IF(P140="", "", VLOOKUP(P140, DanhSachCodeId, 3, FALSE))</f>
      </c>
    </row>
    <row r="141">
      <c r="A141" s="0">
        <f>IF(B141="", "", VLOOKUP(B141, DanhSachCodeId, 3, FALSE))</f>
      </c>
      <c r="C141" s="0">
        <f>IF(B141="", "", VLOOKUP(B141, DanhSachNhanVien, 2, FALSE))</f>
      </c>
      <c r="Q141" s="0">
        <f>IF(P141="", "", VLOOKUP(P141, DanhSachNhanVien, 2, FALSE))</f>
      </c>
      <c r="Z141" s="0">
        <f>IF(D141="", "", VLOOKUP(D141, DanhSachLoaiQuyetDinhRange, 2, FALSE))</f>
      </c>
      <c r="AA141" s="0">
        <f>IF(I141="", "", VLOOKUP(I141, DanhSachPhongBanRange, 2, FALSE))</f>
      </c>
      <c r="AB141" s="0">
        <f>IF(J141="", "", VLOOKUP(J141, DanhSachChucDanhRange, 2, FALSE))</f>
      </c>
      <c r="AC141" s="0">
        <f>IF(L141="", "", VLOOKUP(L141, ThangLuongData, 2, FALSE))</f>
      </c>
      <c r="AD141" s="0">
        <f>IF(M141="", "", VLOOKUP(M141, NgachLuongData, 2, FALSE))</f>
      </c>
      <c r="AE141" s="0">
        <f>IF(N141="", "", VLOOKUP(N141, BacLuongData, 2, FALSE))</f>
      </c>
      <c r="AF141" s="0">
        <f>IF(P141="", "", VLOOKUP(P141, DanhSachCodeId, 3, FALSE))</f>
      </c>
    </row>
    <row r="142">
      <c r="A142" s="0">
        <f>IF(B142="", "", VLOOKUP(B142, DanhSachCodeId, 3, FALSE))</f>
      </c>
      <c r="C142" s="0">
        <f>IF(B142="", "", VLOOKUP(B142, DanhSachNhanVien, 2, FALSE))</f>
      </c>
      <c r="Q142" s="0">
        <f>IF(P142="", "", VLOOKUP(P142, DanhSachNhanVien, 2, FALSE))</f>
      </c>
      <c r="Z142" s="0">
        <f>IF(D142="", "", VLOOKUP(D142, DanhSachLoaiQuyetDinhRange, 2, FALSE))</f>
      </c>
      <c r="AA142" s="0">
        <f>IF(I142="", "", VLOOKUP(I142, DanhSachPhongBanRange, 2, FALSE))</f>
      </c>
      <c r="AB142" s="0">
        <f>IF(J142="", "", VLOOKUP(J142, DanhSachChucDanhRange, 2, FALSE))</f>
      </c>
      <c r="AC142" s="0">
        <f>IF(L142="", "", VLOOKUP(L142, ThangLuongData, 2, FALSE))</f>
      </c>
      <c r="AD142" s="0">
        <f>IF(M142="", "", VLOOKUP(M142, NgachLuongData, 2, FALSE))</f>
      </c>
      <c r="AE142" s="0">
        <f>IF(N142="", "", VLOOKUP(N142, BacLuongData, 2, FALSE))</f>
      </c>
      <c r="AF142" s="0">
        <f>IF(P142="", "", VLOOKUP(P142, DanhSachCodeId, 3, FALSE))</f>
      </c>
    </row>
    <row r="143">
      <c r="A143" s="0">
        <f>IF(B143="", "", VLOOKUP(B143, DanhSachCodeId, 3, FALSE))</f>
      </c>
      <c r="C143" s="0">
        <f>IF(B143="", "", VLOOKUP(B143, DanhSachNhanVien, 2, FALSE))</f>
      </c>
      <c r="Q143" s="0">
        <f>IF(P143="", "", VLOOKUP(P143, DanhSachNhanVien, 2, FALSE))</f>
      </c>
      <c r="Z143" s="0">
        <f>IF(D143="", "", VLOOKUP(D143, DanhSachLoaiQuyetDinhRange, 2, FALSE))</f>
      </c>
      <c r="AA143" s="0">
        <f>IF(I143="", "", VLOOKUP(I143, DanhSachPhongBanRange, 2, FALSE))</f>
      </c>
      <c r="AB143" s="0">
        <f>IF(J143="", "", VLOOKUP(J143, DanhSachChucDanhRange, 2, FALSE))</f>
      </c>
      <c r="AC143" s="0">
        <f>IF(L143="", "", VLOOKUP(L143, ThangLuongData, 2, FALSE))</f>
      </c>
      <c r="AD143" s="0">
        <f>IF(M143="", "", VLOOKUP(M143, NgachLuongData, 2, FALSE))</f>
      </c>
      <c r="AE143" s="0">
        <f>IF(N143="", "", VLOOKUP(N143, BacLuongData, 2, FALSE))</f>
      </c>
      <c r="AF143" s="0">
        <f>IF(P143="", "", VLOOKUP(P143, DanhSachCodeId, 3, FALSE))</f>
      </c>
    </row>
    <row r="144">
      <c r="A144" s="0">
        <f>IF(B144="", "", VLOOKUP(B144, DanhSachCodeId, 3, FALSE))</f>
      </c>
      <c r="C144" s="0">
        <f>IF(B144="", "", VLOOKUP(B144, DanhSachNhanVien, 2, FALSE))</f>
      </c>
      <c r="Q144" s="0">
        <f>IF(P144="", "", VLOOKUP(P144, DanhSachNhanVien, 2, FALSE))</f>
      </c>
      <c r="Z144" s="0">
        <f>IF(D144="", "", VLOOKUP(D144, DanhSachLoaiQuyetDinhRange, 2, FALSE))</f>
      </c>
      <c r="AA144" s="0">
        <f>IF(I144="", "", VLOOKUP(I144, DanhSachPhongBanRange, 2, FALSE))</f>
      </c>
      <c r="AB144" s="0">
        <f>IF(J144="", "", VLOOKUP(J144, DanhSachChucDanhRange, 2, FALSE))</f>
      </c>
      <c r="AC144" s="0">
        <f>IF(L144="", "", VLOOKUP(L144, ThangLuongData, 2, FALSE))</f>
      </c>
      <c r="AD144" s="0">
        <f>IF(M144="", "", VLOOKUP(M144, NgachLuongData, 2, FALSE))</f>
      </c>
      <c r="AE144" s="0">
        <f>IF(N144="", "", VLOOKUP(N144, BacLuongData, 2, FALSE))</f>
      </c>
      <c r="AF144" s="0">
        <f>IF(P144="", "", VLOOKUP(P144, DanhSachCodeId, 3, FALSE))</f>
      </c>
    </row>
    <row r="145">
      <c r="A145" s="0">
        <f>IF(B145="", "", VLOOKUP(B145, DanhSachCodeId, 3, FALSE))</f>
      </c>
      <c r="C145" s="0">
        <f>IF(B145="", "", VLOOKUP(B145, DanhSachNhanVien, 2, FALSE))</f>
      </c>
      <c r="Q145" s="0">
        <f>IF(P145="", "", VLOOKUP(P145, DanhSachNhanVien, 2, FALSE))</f>
      </c>
      <c r="Z145" s="0">
        <f>IF(D145="", "", VLOOKUP(D145, DanhSachLoaiQuyetDinhRange, 2, FALSE))</f>
      </c>
      <c r="AA145" s="0">
        <f>IF(I145="", "", VLOOKUP(I145, DanhSachPhongBanRange, 2, FALSE))</f>
      </c>
      <c r="AB145" s="0">
        <f>IF(J145="", "", VLOOKUP(J145, DanhSachChucDanhRange, 2, FALSE))</f>
      </c>
      <c r="AC145" s="0">
        <f>IF(L145="", "", VLOOKUP(L145, ThangLuongData, 2, FALSE))</f>
      </c>
      <c r="AD145" s="0">
        <f>IF(M145="", "", VLOOKUP(M145, NgachLuongData, 2, FALSE))</f>
      </c>
      <c r="AE145" s="0">
        <f>IF(N145="", "", VLOOKUP(N145, BacLuongData, 2, FALSE))</f>
      </c>
      <c r="AF145" s="0">
        <f>IF(P145="", "", VLOOKUP(P145, DanhSachCodeId, 3, FALSE))</f>
      </c>
    </row>
    <row r="146">
      <c r="A146" s="0">
        <f>IF(B146="", "", VLOOKUP(B146, DanhSachCodeId, 3, FALSE))</f>
      </c>
      <c r="C146" s="0">
        <f>IF(B146="", "", VLOOKUP(B146, DanhSachNhanVien, 2, FALSE))</f>
      </c>
      <c r="Q146" s="0">
        <f>IF(P146="", "", VLOOKUP(P146, DanhSachNhanVien, 2, FALSE))</f>
      </c>
      <c r="Z146" s="0">
        <f>IF(D146="", "", VLOOKUP(D146, DanhSachLoaiQuyetDinhRange, 2, FALSE))</f>
      </c>
      <c r="AA146" s="0">
        <f>IF(I146="", "", VLOOKUP(I146, DanhSachPhongBanRange, 2, FALSE))</f>
      </c>
      <c r="AB146" s="0">
        <f>IF(J146="", "", VLOOKUP(J146, DanhSachChucDanhRange, 2, FALSE))</f>
      </c>
      <c r="AC146" s="0">
        <f>IF(L146="", "", VLOOKUP(L146, ThangLuongData, 2, FALSE))</f>
      </c>
      <c r="AD146" s="0">
        <f>IF(M146="", "", VLOOKUP(M146, NgachLuongData, 2, FALSE))</f>
      </c>
      <c r="AE146" s="0">
        <f>IF(N146="", "", VLOOKUP(N146, BacLuongData, 2, FALSE))</f>
      </c>
      <c r="AF146" s="0">
        <f>IF(P146="", "", VLOOKUP(P146, DanhSachCodeId, 3, FALSE))</f>
      </c>
    </row>
    <row r="147">
      <c r="A147" s="0">
        <f>IF(B147="", "", VLOOKUP(B147, DanhSachCodeId, 3, FALSE))</f>
      </c>
      <c r="C147" s="0">
        <f>IF(B147="", "", VLOOKUP(B147, DanhSachNhanVien, 2, FALSE))</f>
      </c>
      <c r="Q147" s="0">
        <f>IF(P147="", "", VLOOKUP(P147, DanhSachNhanVien, 2, FALSE))</f>
      </c>
      <c r="Z147" s="0">
        <f>IF(D147="", "", VLOOKUP(D147, DanhSachLoaiQuyetDinhRange, 2, FALSE))</f>
      </c>
      <c r="AA147" s="0">
        <f>IF(I147="", "", VLOOKUP(I147, DanhSachPhongBanRange, 2, FALSE))</f>
      </c>
      <c r="AB147" s="0">
        <f>IF(J147="", "", VLOOKUP(J147, DanhSachChucDanhRange, 2, FALSE))</f>
      </c>
      <c r="AC147" s="0">
        <f>IF(L147="", "", VLOOKUP(L147, ThangLuongData, 2, FALSE))</f>
      </c>
      <c r="AD147" s="0">
        <f>IF(M147="", "", VLOOKUP(M147, NgachLuongData, 2, FALSE))</f>
      </c>
      <c r="AE147" s="0">
        <f>IF(N147="", "", VLOOKUP(N147, BacLuongData, 2, FALSE))</f>
      </c>
      <c r="AF147" s="0">
        <f>IF(P147="", "", VLOOKUP(P147, DanhSachCodeId, 3, FALSE))</f>
      </c>
    </row>
    <row r="148">
      <c r="A148" s="0">
        <f>IF(B148="", "", VLOOKUP(B148, DanhSachCodeId, 3, FALSE))</f>
      </c>
      <c r="C148" s="0">
        <f>IF(B148="", "", VLOOKUP(B148, DanhSachNhanVien, 2, FALSE))</f>
      </c>
      <c r="Q148" s="0">
        <f>IF(P148="", "", VLOOKUP(P148, DanhSachNhanVien, 2, FALSE))</f>
      </c>
      <c r="Z148" s="0">
        <f>IF(D148="", "", VLOOKUP(D148, DanhSachLoaiQuyetDinhRange, 2, FALSE))</f>
      </c>
      <c r="AA148" s="0">
        <f>IF(I148="", "", VLOOKUP(I148, DanhSachPhongBanRange, 2, FALSE))</f>
      </c>
      <c r="AB148" s="0">
        <f>IF(J148="", "", VLOOKUP(J148, DanhSachChucDanhRange, 2, FALSE))</f>
      </c>
      <c r="AC148" s="0">
        <f>IF(L148="", "", VLOOKUP(L148, ThangLuongData, 2, FALSE))</f>
      </c>
      <c r="AD148" s="0">
        <f>IF(M148="", "", VLOOKUP(M148, NgachLuongData, 2, FALSE))</f>
      </c>
      <c r="AE148" s="0">
        <f>IF(N148="", "", VLOOKUP(N148, BacLuongData, 2, FALSE))</f>
      </c>
      <c r="AF148" s="0">
        <f>IF(P148="", "", VLOOKUP(P148, DanhSachCodeId, 3, FALSE))</f>
      </c>
    </row>
    <row r="149">
      <c r="A149" s="0">
        <f>IF(B149="", "", VLOOKUP(B149, DanhSachCodeId, 3, FALSE))</f>
      </c>
      <c r="C149" s="0">
        <f>IF(B149="", "", VLOOKUP(B149, DanhSachNhanVien, 2, FALSE))</f>
      </c>
      <c r="Q149" s="0">
        <f>IF(P149="", "", VLOOKUP(P149, DanhSachNhanVien, 2, FALSE))</f>
      </c>
      <c r="Z149" s="0">
        <f>IF(D149="", "", VLOOKUP(D149, DanhSachLoaiQuyetDinhRange, 2, FALSE))</f>
      </c>
      <c r="AA149" s="0">
        <f>IF(I149="", "", VLOOKUP(I149, DanhSachPhongBanRange, 2, FALSE))</f>
      </c>
      <c r="AB149" s="0">
        <f>IF(J149="", "", VLOOKUP(J149, DanhSachChucDanhRange, 2, FALSE))</f>
      </c>
      <c r="AC149" s="0">
        <f>IF(L149="", "", VLOOKUP(L149, ThangLuongData, 2, FALSE))</f>
      </c>
      <c r="AD149" s="0">
        <f>IF(M149="", "", VLOOKUP(M149, NgachLuongData, 2, FALSE))</f>
      </c>
      <c r="AE149" s="0">
        <f>IF(N149="", "", VLOOKUP(N149, BacLuongData, 2, FALSE))</f>
      </c>
      <c r="AF149" s="0">
        <f>IF(P149="", "", VLOOKUP(P149, DanhSachCodeId, 3, FALSE))</f>
      </c>
    </row>
    <row r="150">
      <c r="A150" s="0">
        <f>IF(B150="", "", VLOOKUP(B150, DanhSachCodeId, 3, FALSE))</f>
      </c>
      <c r="C150" s="0">
        <f>IF(B150="", "", VLOOKUP(B150, DanhSachNhanVien, 2, FALSE))</f>
      </c>
      <c r="Q150" s="0">
        <f>IF(P150="", "", VLOOKUP(P150, DanhSachNhanVien, 2, FALSE))</f>
      </c>
      <c r="Z150" s="0">
        <f>IF(D150="", "", VLOOKUP(D150, DanhSachLoaiQuyetDinhRange, 2, FALSE))</f>
      </c>
      <c r="AA150" s="0">
        <f>IF(I150="", "", VLOOKUP(I150, DanhSachPhongBanRange, 2, FALSE))</f>
      </c>
      <c r="AB150" s="0">
        <f>IF(J150="", "", VLOOKUP(J150, DanhSachChucDanhRange, 2, FALSE))</f>
      </c>
      <c r="AC150" s="0">
        <f>IF(L150="", "", VLOOKUP(L150, ThangLuongData, 2, FALSE))</f>
      </c>
      <c r="AD150" s="0">
        <f>IF(M150="", "", VLOOKUP(M150, NgachLuongData, 2, FALSE))</f>
      </c>
      <c r="AE150" s="0">
        <f>IF(N150="", "", VLOOKUP(N150, BacLuongData, 2, FALSE))</f>
      </c>
      <c r="AF150" s="0">
        <f>IF(P150="", "", VLOOKUP(P150, DanhSachCodeId, 3, FALSE))</f>
      </c>
    </row>
    <row r="151">
      <c r="A151" s="0">
        <f>IF(B151="", "", VLOOKUP(B151, DanhSachCodeId, 3, FALSE))</f>
      </c>
      <c r="C151" s="0">
        <f>IF(B151="", "", VLOOKUP(B151, DanhSachNhanVien, 2, FALSE))</f>
      </c>
      <c r="Q151" s="0">
        <f>IF(P151="", "", VLOOKUP(P151, DanhSachNhanVien, 2, FALSE))</f>
      </c>
      <c r="Z151" s="0">
        <f>IF(D151="", "", VLOOKUP(D151, DanhSachLoaiQuyetDinhRange, 2, FALSE))</f>
      </c>
      <c r="AA151" s="0">
        <f>IF(I151="", "", VLOOKUP(I151, DanhSachPhongBanRange, 2, FALSE))</f>
      </c>
      <c r="AB151" s="0">
        <f>IF(J151="", "", VLOOKUP(J151, DanhSachChucDanhRange, 2, FALSE))</f>
      </c>
      <c r="AC151" s="0">
        <f>IF(L151="", "", VLOOKUP(L151, ThangLuongData, 2, FALSE))</f>
      </c>
      <c r="AD151" s="0">
        <f>IF(M151="", "", VLOOKUP(M151, NgachLuongData, 2, FALSE))</f>
      </c>
      <c r="AE151" s="0">
        <f>IF(N151="", "", VLOOKUP(N151, BacLuongData, 2, FALSE))</f>
      </c>
      <c r="AF151" s="0">
        <f>IF(P151="", "", VLOOKUP(P151, DanhSachCodeId, 3, FALSE))</f>
      </c>
    </row>
    <row r="152">
      <c r="A152" s="0">
        <f>IF(B152="", "", VLOOKUP(B152, DanhSachCodeId, 3, FALSE))</f>
      </c>
      <c r="C152" s="0">
        <f>IF(B152="", "", VLOOKUP(B152, DanhSachNhanVien, 2, FALSE))</f>
      </c>
      <c r="Q152" s="0">
        <f>IF(P152="", "", VLOOKUP(P152, DanhSachNhanVien, 2, FALSE))</f>
      </c>
      <c r="Z152" s="0">
        <f>IF(D152="", "", VLOOKUP(D152, DanhSachLoaiQuyetDinhRange, 2, FALSE))</f>
      </c>
      <c r="AA152" s="0">
        <f>IF(I152="", "", VLOOKUP(I152, DanhSachPhongBanRange, 2, FALSE))</f>
      </c>
      <c r="AB152" s="0">
        <f>IF(J152="", "", VLOOKUP(J152, DanhSachChucDanhRange, 2, FALSE))</f>
      </c>
      <c r="AC152" s="0">
        <f>IF(L152="", "", VLOOKUP(L152, ThangLuongData, 2, FALSE))</f>
      </c>
      <c r="AD152" s="0">
        <f>IF(M152="", "", VLOOKUP(M152, NgachLuongData, 2, FALSE))</f>
      </c>
      <c r="AE152" s="0">
        <f>IF(N152="", "", VLOOKUP(N152, BacLuongData, 2, FALSE))</f>
      </c>
      <c r="AF152" s="0">
        <f>IF(P152="", "", VLOOKUP(P152, DanhSachCodeId, 3, FALSE))</f>
      </c>
    </row>
    <row r="153">
      <c r="A153" s="0">
        <f>IF(B153="", "", VLOOKUP(B153, DanhSachCodeId, 3, FALSE))</f>
      </c>
      <c r="C153" s="0">
        <f>IF(B153="", "", VLOOKUP(B153, DanhSachNhanVien, 2, FALSE))</f>
      </c>
      <c r="Q153" s="0">
        <f>IF(P153="", "", VLOOKUP(P153, DanhSachNhanVien, 2, FALSE))</f>
      </c>
      <c r="Z153" s="0">
        <f>IF(D153="", "", VLOOKUP(D153, DanhSachLoaiQuyetDinhRange, 2, FALSE))</f>
      </c>
      <c r="AA153" s="0">
        <f>IF(I153="", "", VLOOKUP(I153, DanhSachPhongBanRange, 2, FALSE))</f>
      </c>
      <c r="AB153" s="0">
        <f>IF(J153="", "", VLOOKUP(J153, DanhSachChucDanhRange, 2, FALSE))</f>
      </c>
      <c r="AC153" s="0">
        <f>IF(L153="", "", VLOOKUP(L153, ThangLuongData, 2, FALSE))</f>
      </c>
      <c r="AD153" s="0">
        <f>IF(M153="", "", VLOOKUP(M153, NgachLuongData, 2, FALSE))</f>
      </c>
      <c r="AE153" s="0">
        <f>IF(N153="", "", VLOOKUP(N153, BacLuongData, 2, FALSE))</f>
      </c>
      <c r="AF153" s="0">
        <f>IF(P153="", "", VLOOKUP(P153, DanhSachCodeId, 3, FALSE))</f>
      </c>
    </row>
    <row r="154">
      <c r="A154" s="0">
        <f>IF(B154="", "", VLOOKUP(B154, DanhSachCodeId, 3, FALSE))</f>
      </c>
      <c r="C154" s="0">
        <f>IF(B154="", "", VLOOKUP(B154, DanhSachNhanVien, 2, FALSE))</f>
      </c>
      <c r="Q154" s="0">
        <f>IF(P154="", "", VLOOKUP(P154, DanhSachNhanVien, 2, FALSE))</f>
      </c>
      <c r="Z154" s="0">
        <f>IF(D154="", "", VLOOKUP(D154, DanhSachLoaiQuyetDinhRange, 2, FALSE))</f>
      </c>
      <c r="AA154" s="0">
        <f>IF(I154="", "", VLOOKUP(I154, DanhSachPhongBanRange, 2, FALSE))</f>
      </c>
      <c r="AB154" s="0">
        <f>IF(J154="", "", VLOOKUP(J154, DanhSachChucDanhRange, 2, FALSE))</f>
      </c>
      <c r="AC154" s="0">
        <f>IF(L154="", "", VLOOKUP(L154, ThangLuongData, 2, FALSE))</f>
      </c>
      <c r="AD154" s="0">
        <f>IF(M154="", "", VLOOKUP(M154, NgachLuongData, 2, FALSE))</f>
      </c>
      <c r="AE154" s="0">
        <f>IF(N154="", "", VLOOKUP(N154, BacLuongData, 2, FALSE))</f>
      </c>
      <c r="AF154" s="0">
        <f>IF(P154="", "", VLOOKUP(P154, DanhSachCodeId, 3, FALSE))</f>
      </c>
    </row>
    <row r="155">
      <c r="A155" s="0">
        <f>IF(B155="", "", VLOOKUP(B155, DanhSachCodeId, 3, FALSE))</f>
      </c>
      <c r="C155" s="0">
        <f>IF(B155="", "", VLOOKUP(B155, DanhSachNhanVien, 2, FALSE))</f>
      </c>
      <c r="Q155" s="0">
        <f>IF(P155="", "", VLOOKUP(P155, DanhSachNhanVien, 2, FALSE))</f>
      </c>
      <c r="Z155" s="0">
        <f>IF(D155="", "", VLOOKUP(D155, DanhSachLoaiQuyetDinhRange, 2, FALSE))</f>
      </c>
      <c r="AA155" s="0">
        <f>IF(I155="", "", VLOOKUP(I155, DanhSachPhongBanRange, 2, FALSE))</f>
      </c>
      <c r="AB155" s="0">
        <f>IF(J155="", "", VLOOKUP(J155, DanhSachChucDanhRange, 2, FALSE))</f>
      </c>
      <c r="AC155" s="0">
        <f>IF(L155="", "", VLOOKUP(L155, ThangLuongData, 2, FALSE))</f>
      </c>
      <c r="AD155" s="0">
        <f>IF(M155="", "", VLOOKUP(M155, NgachLuongData, 2, FALSE))</f>
      </c>
      <c r="AE155" s="0">
        <f>IF(N155="", "", VLOOKUP(N155, BacLuongData, 2, FALSE))</f>
      </c>
      <c r="AF155" s="0">
        <f>IF(P155="", "", VLOOKUP(P155, DanhSachCodeId, 3, FALSE))</f>
      </c>
    </row>
    <row r="156">
      <c r="A156" s="0">
        <f>IF(B156="", "", VLOOKUP(B156, DanhSachCodeId, 3, FALSE))</f>
      </c>
      <c r="C156" s="0">
        <f>IF(B156="", "", VLOOKUP(B156, DanhSachNhanVien, 2, FALSE))</f>
      </c>
      <c r="Q156" s="0">
        <f>IF(P156="", "", VLOOKUP(P156, DanhSachNhanVien, 2, FALSE))</f>
      </c>
      <c r="Z156" s="0">
        <f>IF(D156="", "", VLOOKUP(D156, DanhSachLoaiQuyetDinhRange, 2, FALSE))</f>
      </c>
      <c r="AA156" s="0">
        <f>IF(I156="", "", VLOOKUP(I156, DanhSachPhongBanRange, 2, FALSE))</f>
      </c>
      <c r="AB156" s="0">
        <f>IF(J156="", "", VLOOKUP(J156, DanhSachChucDanhRange, 2, FALSE))</f>
      </c>
      <c r="AC156" s="0">
        <f>IF(L156="", "", VLOOKUP(L156, ThangLuongData, 2, FALSE))</f>
      </c>
      <c r="AD156" s="0">
        <f>IF(M156="", "", VLOOKUP(M156, NgachLuongData, 2, FALSE))</f>
      </c>
      <c r="AE156" s="0">
        <f>IF(N156="", "", VLOOKUP(N156, BacLuongData, 2, FALSE))</f>
      </c>
      <c r="AF156" s="0">
        <f>IF(P156="", "", VLOOKUP(P156, DanhSachCodeId, 3, FALSE))</f>
      </c>
    </row>
    <row r="157">
      <c r="A157" s="0">
        <f>IF(B157="", "", VLOOKUP(B157, DanhSachCodeId, 3, FALSE))</f>
      </c>
      <c r="C157" s="0">
        <f>IF(B157="", "", VLOOKUP(B157, DanhSachNhanVien, 2, FALSE))</f>
      </c>
      <c r="Q157" s="0">
        <f>IF(P157="", "", VLOOKUP(P157, DanhSachNhanVien, 2, FALSE))</f>
      </c>
      <c r="Z157" s="0">
        <f>IF(D157="", "", VLOOKUP(D157, DanhSachLoaiQuyetDinhRange, 2, FALSE))</f>
      </c>
      <c r="AA157" s="0">
        <f>IF(I157="", "", VLOOKUP(I157, DanhSachPhongBanRange, 2, FALSE))</f>
      </c>
      <c r="AB157" s="0">
        <f>IF(J157="", "", VLOOKUP(J157, DanhSachChucDanhRange, 2, FALSE))</f>
      </c>
      <c r="AC157" s="0">
        <f>IF(L157="", "", VLOOKUP(L157, ThangLuongData, 2, FALSE))</f>
      </c>
      <c r="AD157" s="0">
        <f>IF(M157="", "", VLOOKUP(M157, NgachLuongData, 2, FALSE))</f>
      </c>
      <c r="AE157" s="0">
        <f>IF(N157="", "", VLOOKUP(N157, BacLuongData, 2, FALSE))</f>
      </c>
      <c r="AF157" s="0">
        <f>IF(P157="", "", VLOOKUP(P157, DanhSachCodeId, 3, FALSE))</f>
      </c>
    </row>
    <row r="158">
      <c r="A158" s="0">
        <f>IF(B158="", "", VLOOKUP(B158, DanhSachCodeId, 3, FALSE))</f>
      </c>
      <c r="C158" s="0">
        <f>IF(B158="", "", VLOOKUP(B158, DanhSachNhanVien, 2, FALSE))</f>
      </c>
      <c r="Q158" s="0">
        <f>IF(P158="", "", VLOOKUP(P158, DanhSachNhanVien, 2, FALSE))</f>
      </c>
      <c r="Z158" s="0">
        <f>IF(D158="", "", VLOOKUP(D158, DanhSachLoaiQuyetDinhRange, 2, FALSE))</f>
      </c>
      <c r="AA158" s="0">
        <f>IF(I158="", "", VLOOKUP(I158, DanhSachPhongBanRange, 2, FALSE))</f>
      </c>
      <c r="AB158" s="0">
        <f>IF(J158="", "", VLOOKUP(J158, DanhSachChucDanhRange, 2, FALSE))</f>
      </c>
      <c r="AC158" s="0">
        <f>IF(L158="", "", VLOOKUP(L158, ThangLuongData, 2, FALSE))</f>
      </c>
      <c r="AD158" s="0">
        <f>IF(M158="", "", VLOOKUP(M158, NgachLuongData, 2, FALSE))</f>
      </c>
      <c r="AE158" s="0">
        <f>IF(N158="", "", VLOOKUP(N158, BacLuongData, 2, FALSE))</f>
      </c>
      <c r="AF158" s="0">
        <f>IF(P158="", "", VLOOKUP(P158, DanhSachCodeId, 3, FALSE))</f>
      </c>
    </row>
    <row r="159">
      <c r="A159" s="0">
        <f>IF(B159="", "", VLOOKUP(B159, DanhSachCodeId, 3, FALSE))</f>
      </c>
      <c r="C159" s="0">
        <f>IF(B159="", "", VLOOKUP(B159, DanhSachNhanVien, 2, FALSE))</f>
      </c>
      <c r="Q159" s="0">
        <f>IF(P159="", "", VLOOKUP(P159, DanhSachNhanVien, 2, FALSE))</f>
      </c>
      <c r="Z159" s="0">
        <f>IF(D159="", "", VLOOKUP(D159, DanhSachLoaiQuyetDinhRange, 2, FALSE))</f>
      </c>
      <c r="AA159" s="0">
        <f>IF(I159="", "", VLOOKUP(I159, DanhSachPhongBanRange, 2, FALSE))</f>
      </c>
      <c r="AB159" s="0">
        <f>IF(J159="", "", VLOOKUP(J159, DanhSachChucDanhRange, 2, FALSE))</f>
      </c>
      <c r="AC159" s="0">
        <f>IF(L159="", "", VLOOKUP(L159, ThangLuongData, 2, FALSE))</f>
      </c>
      <c r="AD159" s="0">
        <f>IF(M159="", "", VLOOKUP(M159, NgachLuongData, 2, FALSE))</f>
      </c>
      <c r="AE159" s="0">
        <f>IF(N159="", "", VLOOKUP(N159, BacLuongData, 2, FALSE))</f>
      </c>
      <c r="AF159" s="0">
        <f>IF(P159="", "", VLOOKUP(P159, DanhSachCodeId, 3, FALSE))</f>
      </c>
    </row>
    <row r="160">
      <c r="A160" s="0">
        <f>IF(B160="", "", VLOOKUP(B160, DanhSachCodeId, 3, FALSE))</f>
      </c>
      <c r="C160" s="0">
        <f>IF(B160="", "", VLOOKUP(B160, DanhSachNhanVien, 2, FALSE))</f>
      </c>
      <c r="Q160" s="0">
        <f>IF(P160="", "", VLOOKUP(P160, DanhSachNhanVien, 2, FALSE))</f>
      </c>
      <c r="Z160" s="0">
        <f>IF(D160="", "", VLOOKUP(D160, DanhSachLoaiQuyetDinhRange, 2, FALSE))</f>
      </c>
      <c r="AA160" s="0">
        <f>IF(I160="", "", VLOOKUP(I160, DanhSachPhongBanRange, 2, FALSE))</f>
      </c>
      <c r="AB160" s="0">
        <f>IF(J160="", "", VLOOKUP(J160, DanhSachChucDanhRange, 2, FALSE))</f>
      </c>
      <c r="AC160" s="0">
        <f>IF(L160="", "", VLOOKUP(L160, ThangLuongData, 2, FALSE))</f>
      </c>
      <c r="AD160" s="0">
        <f>IF(M160="", "", VLOOKUP(M160, NgachLuongData, 2, FALSE))</f>
      </c>
      <c r="AE160" s="0">
        <f>IF(N160="", "", VLOOKUP(N160, BacLuongData, 2, FALSE))</f>
      </c>
      <c r="AF160" s="0">
        <f>IF(P160="", "", VLOOKUP(P160, DanhSachCodeId, 3, FALSE))</f>
      </c>
    </row>
    <row r="161">
      <c r="A161" s="0">
        <f>IF(B161="", "", VLOOKUP(B161, DanhSachCodeId, 3, FALSE))</f>
      </c>
      <c r="C161" s="0">
        <f>IF(B161="", "", VLOOKUP(B161, DanhSachNhanVien, 2, FALSE))</f>
      </c>
      <c r="Q161" s="0">
        <f>IF(P161="", "", VLOOKUP(P161, DanhSachNhanVien, 2, FALSE))</f>
      </c>
      <c r="Z161" s="0">
        <f>IF(D161="", "", VLOOKUP(D161, DanhSachLoaiQuyetDinhRange, 2, FALSE))</f>
      </c>
      <c r="AA161" s="0">
        <f>IF(I161="", "", VLOOKUP(I161, DanhSachPhongBanRange, 2, FALSE))</f>
      </c>
      <c r="AB161" s="0">
        <f>IF(J161="", "", VLOOKUP(J161, DanhSachChucDanhRange, 2, FALSE))</f>
      </c>
      <c r="AC161" s="0">
        <f>IF(L161="", "", VLOOKUP(L161, ThangLuongData, 2, FALSE))</f>
      </c>
      <c r="AD161" s="0">
        <f>IF(M161="", "", VLOOKUP(M161, NgachLuongData, 2, FALSE))</f>
      </c>
      <c r="AE161" s="0">
        <f>IF(N161="", "", VLOOKUP(N161, BacLuongData, 2, FALSE))</f>
      </c>
      <c r="AF161" s="0">
        <f>IF(P161="", "", VLOOKUP(P161, DanhSachCodeId, 3, FALSE))</f>
      </c>
    </row>
    <row r="162">
      <c r="A162" s="0">
        <f>IF(B162="", "", VLOOKUP(B162, DanhSachCodeId, 3, FALSE))</f>
      </c>
      <c r="C162" s="0">
        <f>IF(B162="", "", VLOOKUP(B162, DanhSachNhanVien, 2, FALSE))</f>
      </c>
      <c r="Q162" s="0">
        <f>IF(P162="", "", VLOOKUP(P162, DanhSachNhanVien, 2, FALSE))</f>
      </c>
      <c r="Z162" s="0">
        <f>IF(D162="", "", VLOOKUP(D162, DanhSachLoaiQuyetDinhRange, 2, FALSE))</f>
      </c>
      <c r="AA162" s="0">
        <f>IF(I162="", "", VLOOKUP(I162, DanhSachPhongBanRange, 2, FALSE))</f>
      </c>
      <c r="AB162" s="0">
        <f>IF(J162="", "", VLOOKUP(J162, DanhSachChucDanhRange, 2, FALSE))</f>
      </c>
      <c r="AC162" s="0">
        <f>IF(L162="", "", VLOOKUP(L162, ThangLuongData, 2, FALSE))</f>
      </c>
      <c r="AD162" s="0">
        <f>IF(M162="", "", VLOOKUP(M162, NgachLuongData, 2, FALSE))</f>
      </c>
      <c r="AE162" s="0">
        <f>IF(N162="", "", VLOOKUP(N162, BacLuongData, 2, FALSE))</f>
      </c>
      <c r="AF162" s="0">
        <f>IF(P162="", "", VLOOKUP(P162, DanhSachCodeId, 3, FALSE))</f>
      </c>
    </row>
    <row r="163">
      <c r="A163" s="0">
        <f>IF(B163="", "", VLOOKUP(B163, DanhSachCodeId, 3, FALSE))</f>
      </c>
      <c r="C163" s="0">
        <f>IF(B163="", "", VLOOKUP(B163, DanhSachNhanVien, 2, FALSE))</f>
      </c>
      <c r="Q163" s="0">
        <f>IF(P163="", "", VLOOKUP(P163, DanhSachNhanVien, 2, FALSE))</f>
      </c>
      <c r="Z163" s="0">
        <f>IF(D163="", "", VLOOKUP(D163, DanhSachLoaiQuyetDinhRange, 2, FALSE))</f>
      </c>
      <c r="AA163" s="0">
        <f>IF(I163="", "", VLOOKUP(I163, DanhSachPhongBanRange, 2, FALSE))</f>
      </c>
      <c r="AB163" s="0">
        <f>IF(J163="", "", VLOOKUP(J163, DanhSachChucDanhRange, 2, FALSE))</f>
      </c>
      <c r="AC163" s="0">
        <f>IF(L163="", "", VLOOKUP(L163, ThangLuongData, 2, FALSE))</f>
      </c>
      <c r="AD163" s="0">
        <f>IF(M163="", "", VLOOKUP(M163, NgachLuongData, 2, FALSE))</f>
      </c>
      <c r="AE163" s="0">
        <f>IF(N163="", "", VLOOKUP(N163, BacLuongData, 2, FALSE))</f>
      </c>
      <c r="AF163" s="0">
        <f>IF(P163="", "", VLOOKUP(P163, DanhSachCodeId, 3, FALSE))</f>
      </c>
    </row>
    <row r="164">
      <c r="A164" s="0">
        <f>IF(B164="", "", VLOOKUP(B164, DanhSachCodeId, 3, FALSE))</f>
      </c>
      <c r="C164" s="0">
        <f>IF(B164="", "", VLOOKUP(B164, DanhSachNhanVien, 2, FALSE))</f>
      </c>
      <c r="Q164" s="0">
        <f>IF(P164="", "", VLOOKUP(P164, DanhSachNhanVien, 2, FALSE))</f>
      </c>
      <c r="Z164" s="0">
        <f>IF(D164="", "", VLOOKUP(D164, DanhSachLoaiQuyetDinhRange, 2, FALSE))</f>
      </c>
      <c r="AA164" s="0">
        <f>IF(I164="", "", VLOOKUP(I164, DanhSachPhongBanRange, 2, FALSE))</f>
      </c>
      <c r="AB164" s="0">
        <f>IF(J164="", "", VLOOKUP(J164, DanhSachChucDanhRange, 2, FALSE))</f>
      </c>
      <c r="AC164" s="0">
        <f>IF(L164="", "", VLOOKUP(L164, ThangLuongData, 2, FALSE))</f>
      </c>
      <c r="AD164" s="0">
        <f>IF(M164="", "", VLOOKUP(M164, NgachLuongData, 2, FALSE))</f>
      </c>
      <c r="AE164" s="0">
        <f>IF(N164="", "", VLOOKUP(N164, BacLuongData, 2, FALSE))</f>
      </c>
      <c r="AF164" s="0">
        <f>IF(P164="", "", VLOOKUP(P164, DanhSachCodeId, 3, FALSE))</f>
      </c>
    </row>
    <row r="165">
      <c r="A165" s="0">
        <f>IF(B165="", "", VLOOKUP(B165, DanhSachCodeId, 3, FALSE))</f>
      </c>
      <c r="C165" s="0">
        <f>IF(B165="", "", VLOOKUP(B165, DanhSachNhanVien, 2, FALSE))</f>
      </c>
      <c r="Q165" s="0">
        <f>IF(P165="", "", VLOOKUP(P165, DanhSachNhanVien, 2, FALSE))</f>
      </c>
      <c r="Z165" s="0">
        <f>IF(D165="", "", VLOOKUP(D165, DanhSachLoaiQuyetDinhRange, 2, FALSE))</f>
      </c>
      <c r="AA165" s="0">
        <f>IF(I165="", "", VLOOKUP(I165, DanhSachPhongBanRange, 2, FALSE))</f>
      </c>
      <c r="AB165" s="0">
        <f>IF(J165="", "", VLOOKUP(J165, DanhSachChucDanhRange, 2, FALSE))</f>
      </c>
      <c r="AC165" s="0">
        <f>IF(L165="", "", VLOOKUP(L165, ThangLuongData, 2, FALSE))</f>
      </c>
      <c r="AD165" s="0">
        <f>IF(M165="", "", VLOOKUP(M165, NgachLuongData, 2, FALSE))</f>
      </c>
      <c r="AE165" s="0">
        <f>IF(N165="", "", VLOOKUP(N165, BacLuongData, 2, FALSE))</f>
      </c>
      <c r="AF165" s="0">
        <f>IF(P165="", "", VLOOKUP(P165, DanhSachCodeId, 3, FALSE))</f>
      </c>
    </row>
    <row r="166">
      <c r="A166" s="0">
        <f>IF(B166="", "", VLOOKUP(B166, DanhSachCodeId, 3, FALSE))</f>
      </c>
      <c r="C166" s="0">
        <f>IF(B166="", "", VLOOKUP(B166, DanhSachNhanVien, 2, FALSE))</f>
      </c>
      <c r="Q166" s="0">
        <f>IF(P166="", "", VLOOKUP(P166, DanhSachNhanVien, 2, FALSE))</f>
      </c>
      <c r="Z166" s="0">
        <f>IF(D166="", "", VLOOKUP(D166, DanhSachLoaiQuyetDinhRange, 2, FALSE))</f>
      </c>
      <c r="AA166" s="0">
        <f>IF(I166="", "", VLOOKUP(I166, DanhSachPhongBanRange, 2, FALSE))</f>
      </c>
      <c r="AB166" s="0">
        <f>IF(J166="", "", VLOOKUP(J166, DanhSachChucDanhRange, 2, FALSE))</f>
      </c>
      <c r="AC166" s="0">
        <f>IF(L166="", "", VLOOKUP(L166, ThangLuongData, 2, FALSE))</f>
      </c>
      <c r="AD166" s="0">
        <f>IF(M166="", "", VLOOKUP(M166, NgachLuongData, 2, FALSE))</f>
      </c>
      <c r="AE166" s="0">
        <f>IF(N166="", "", VLOOKUP(N166, BacLuongData, 2, FALSE))</f>
      </c>
      <c r="AF166" s="0">
        <f>IF(P166="", "", VLOOKUP(P166, DanhSachCodeId, 3, FALSE))</f>
      </c>
    </row>
    <row r="167">
      <c r="A167" s="0">
        <f>IF(B167="", "", VLOOKUP(B167, DanhSachCodeId, 3, FALSE))</f>
      </c>
      <c r="C167" s="0">
        <f>IF(B167="", "", VLOOKUP(B167, DanhSachNhanVien, 2, FALSE))</f>
      </c>
      <c r="Q167" s="0">
        <f>IF(P167="", "", VLOOKUP(P167, DanhSachNhanVien, 2, FALSE))</f>
      </c>
      <c r="Z167" s="0">
        <f>IF(D167="", "", VLOOKUP(D167, DanhSachLoaiQuyetDinhRange, 2, FALSE))</f>
      </c>
      <c r="AA167" s="0">
        <f>IF(I167="", "", VLOOKUP(I167, DanhSachPhongBanRange, 2, FALSE))</f>
      </c>
      <c r="AB167" s="0">
        <f>IF(J167="", "", VLOOKUP(J167, DanhSachChucDanhRange, 2, FALSE))</f>
      </c>
      <c r="AC167" s="0">
        <f>IF(L167="", "", VLOOKUP(L167, ThangLuongData, 2, FALSE))</f>
      </c>
      <c r="AD167" s="0">
        <f>IF(M167="", "", VLOOKUP(M167, NgachLuongData, 2, FALSE))</f>
      </c>
      <c r="AE167" s="0">
        <f>IF(N167="", "", VLOOKUP(N167, BacLuongData, 2, FALSE))</f>
      </c>
      <c r="AF167" s="0">
        <f>IF(P167="", "", VLOOKUP(P167, DanhSachCodeId, 3, FALSE))</f>
      </c>
    </row>
    <row r="168">
      <c r="A168" s="0">
        <f>IF(B168="", "", VLOOKUP(B168, DanhSachCodeId, 3, FALSE))</f>
      </c>
      <c r="C168" s="0">
        <f>IF(B168="", "", VLOOKUP(B168, DanhSachNhanVien, 2, FALSE))</f>
      </c>
      <c r="Q168" s="0">
        <f>IF(P168="", "", VLOOKUP(P168, DanhSachNhanVien, 2, FALSE))</f>
      </c>
      <c r="Z168" s="0">
        <f>IF(D168="", "", VLOOKUP(D168, DanhSachLoaiQuyetDinhRange, 2, FALSE))</f>
      </c>
      <c r="AA168" s="0">
        <f>IF(I168="", "", VLOOKUP(I168, DanhSachPhongBanRange, 2, FALSE))</f>
      </c>
      <c r="AB168" s="0">
        <f>IF(J168="", "", VLOOKUP(J168, DanhSachChucDanhRange, 2, FALSE))</f>
      </c>
      <c r="AC168" s="0">
        <f>IF(L168="", "", VLOOKUP(L168, ThangLuongData, 2, FALSE))</f>
      </c>
      <c r="AD168" s="0">
        <f>IF(M168="", "", VLOOKUP(M168, NgachLuongData, 2, FALSE))</f>
      </c>
      <c r="AE168" s="0">
        <f>IF(N168="", "", VLOOKUP(N168, BacLuongData, 2, FALSE))</f>
      </c>
      <c r="AF168" s="0">
        <f>IF(P168="", "", VLOOKUP(P168, DanhSachCodeId, 3, FALSE))</f>
      </c>
    </row>
    <row r="169">
      <c r="A169" s="0">
        <f>IF(B169="", "", VLOOKUP(B169, DanhSachCodeId, 3, FALSE))</f>
      </c>
      <c r="C169" s="0">
        <f>IF(B169="", "", VLOOKUP(B169, DanhSachNhanVien, 2, FALSE))</f>
      </c>
      <c r="Q169" s="0">
        <f>IF(P169="", "", VLOOKUP(P169, DanhSachNhanVien, 2, FALSE))</f>
      </c>
      <c r="Z169" s="0">
        <f>IF(D169="", "", VLOOKUP(D169, DanhSachLoaiQuyetDinhRange, 2, FALSE))</f>
      </c>
      <c r="AA169" s="0">
        <f>IF(I169="", "", VLOOKUP(I169, DanhSachPhongBanRange, 2, FALSE))</f>
      </c>
      <c r="AB169" s="0">
        <f>IF(J169="", "", VLOOKUP(J169, DanhSachChucDanhRange, 2, FALSE))</f>
      </c>
      <c r="AC169" s="0">
        <f>IF(L169="", "", VLOOKUP(L169, ThangLuongData, 2, FALSE))</f>
      </c>
      <c r="AD169" s="0">
        <f>IF(M169="", "", VLOOKUP(M169, NgachLuongData, 2, FALSE))</f>
      </c>
      <c r="AE169" s="0">
        <f>IF(N169="", "", VLOOKUP(N169, BacLuongData, 2, FALSE))</f>
      </c>
      <c r="AF169" s="0">
        <f>IF(P169="", "", VLOOKUP(P169, DanhSachCodeId, 3, FALSE))</f>
      </c>
    </row>
    <row r="170">
      <c r="A170" s="0">
        <f>IF(B170="", "", VLOOKUP(B170, DanhSachCodeId, 3, FALSE))</f>
      </c>
      <c r="C170" s="0">
        <f>IF(B170="", "", VLOOKUP(B170, DanhSachNhanVien, 2, FALSE))</f>
      </c>
      <c r="Q170" s="0">
        <f>IF(P170="", "", VLOOKUP(P170, DanhSachNhanVien, 2, FALSE))</f>
      </c>
      <c r="Z170" s="0">
        <f>IF(D170="", "", VLOOKUP(D170, DanhSachLoaiQuyetDinhRange, 2, FALSE))</f>
      </c>
      <c r="AA170" s="0">
        <f>IF(I170="", "", VLOOKUP(I170, DanhSachPhongBanRange, 2, FALSE))</f>
      </c>
      <c r="AB170" s="0">
        <f>IF(J170="", "", VLOOKUP(J170, DanhSachChucDanhRange, 2, FALSE))</f>
      </c>
      <c r="AC170" s="0">
        <f>IF(L170="", "", VLOOKUP(L170, ThangLuongData, 2, FALSE))</f>
      </c>
      <c r="AD170" s="0">
        <f>IF(M170="", "", VLOOKUP(M170, NgachLuongData, 2, FALSE))</f>
      </c>
      <c r="AE170" s="0">
        <f>IF(N170="", "", VLOOKUP(N170, BacLuongData, 2, FALSE))</f>
      </c>
      <c r="AF170" s="0">
        <f>IF(P170="", "", VLOOKUP(P170, DanhSachCodeId, 3, FALSE))</f>
      </c>
    </row>
    <row r="171">
      <c r="A171" s="0">
        <f>IF(B171="", "", VLOOKUP(B171, DanhSachCodeId, 3, FALSE))</f>
      </c>
      <c r="C171" s="0">
        <f>IF(B171="", "", VLOOKUP(B171, DanhSachNhanVien, 2, FALSE))</f>
      </c>
      <c r="Q171" s="0">
        <f>IF(P171="", "", VLOOKUP(P171, DanhSachNhanVien, 2, FALSE))</f>
      </c>
      <c r="Z171" s="0">
        <f>IF(D171="", "", VLOOKUP(D171, DanhSachLoaiQuyetDinhRange, 2, FALSE))</f>
      </c>
      <c r="AA171" s="0">
        <f>IF(I171="", "", VLOOKUP(I171, DanhSachPhongBanRange, 2, FALSE))</f>
      </c>
      <c r="AB171" s="0">
        <f>IF(J171="", "", VLOOKUP(J171, DanhSachChucDanhRange, 2, FALSE))</f>
      </c>
      <c r="AC171" s="0">
        <f>IF(L171="", "", VLOOKUP(L171, ThangLuongData, 2, FALSE))</f>
      </c>
      <c r="AD171" s="0">
        <f>IF(M171="", "", VLOOKUP(M171, NgachLuongData, 2, FALSE))</f>
      </c>
      <c r="AE171" s="0">
        <f>IF(N171="", "", VLOOKUP(N171, BacLuongData, 2, FALSE))</f>
      </c>
      <c r="AF171" s="0">
        <f>IF(P171="", "", VLOOKUP(P171, DanhSachCodeId, 3, FALSE))</f>
      </c>
    </row>
    <row r="172">
      <c r="A172" s="0">
        <f>IF(B172="", "", VLOOKUP(B172, DanhSachCodeId, 3, FALSE))</f>
      </c>
      <c r="C172" s="0">
        <f>IF(B172="", "", VLOOKUP(B172, DanhSachNhanVien, 2, FALSE))</f>
      </c>
      <c r="Q172" s="0">
        <f>IF(P172="", "", VLOOKUP(P172, DanhSachNhanVien, 2, FALSE))</f>
      </c>
      <c r="Z172" s="0">
        <f>IF(D172="", "", VLOOKUP(D172, DanhSachLoaiQuyetDinhRange, 2, FALSE))</f>
      </c>
      <c r="AA172" s="0">
        <f>IF(I172="", "", VLOOKUP(I172, DanhSachPhongBanRange, 2, FALSE))</f>
      </c>
      <c r="AB172" s="0">
        <f>IF(J172="", "", VLOOKUP(J172, DanhSachChucDanhRange, 2, FALSE))</f>
      </c>
      <c r="AC172" s="0">
        <f>IF(L172="", "", VLOOKUP(L172, ThangLuongData, 2, FALSE))</f>
      </c>
      <c r="AD172" s="0">
        <f>IF(M172="", "", VLOOKUP(M172, NgachLuongData, 2, FALSE))</f>
      </c>
      <c r="AE172" s="0">
        <f>IF(N172="", "", VLOOKUP(N172, BacLuongData, 2, FALSE))</f>
      </c>
      <c r="AF172" s="0">
        <f>IF(P172="", "", VLOOKUP(P172, DanhSachCodeId, 3, FALSE))</f>
      </c>
    </row>
    <row r="173">
      <c r="A173" s="0">
        <f>IF(B173="", "", VLOOKUP(B173, DanhSachCodeId, 3, FALSE))</f>
      </c>
      <c r="C173" s="0">
        <f>IF(B173="", "", VLOOKUP(B173, DanhSachNhanVien, 2, FALSE))</f>
      </c>
      <c r="Q173" s="0">
        <f>IF(P173="", "", VLOOKUP(P173, DanhSachNhanVien, 2, FALSE))</f>
      </c>
      <c r="Z173" s="0">
        <f>IF(D173="", "", VLOOKUP(D173, DanhSachLoaiQuyetDinhRange, 2, FALSE))</f>
      </c>
      <c r="AA173" s="0">
        <f>IF(I173="", "", VLOOKUP(I173, DanhSachPhongBanRange, 2, FALSE))</f>
      </c>
      <c r="AB173" s="0">
        <f>IF(J173="", "", VLOOKUP(J173, DanhSachChucDanhRange, 2, FALSE))</f>
      </c>
      <c r="AC173" s="0">
        <f>IF(L173="", "", VLOOKUP(L173, ThangLuongData, 2, FALSE))</f>
      </c>
      <c r="AD173" s="0">
        <f>IF(M173="", "", VLOOKUP(M173, NgachLuongData, 2, FALSE))</f>
      </c>
      <c r="AE173" s="0">
        <f>IF(N173="", "", VLOOKUP(N173, BacLuongData, 2, FALSE))</f>
      </c>
      <c r="AF173" s="0">
        <f>IF(P173="", "", VLOOKUP(P173, DanhSachCodeId, 3, FALSE))</f>
      </c>
    </row>
    <row r="174">
      <c r="A174" s="0">
        <f>IF(B174="", "", VLOOKUP(B174, DanhSachCodeId, 3, FALSE))</f>
      </c>
      <c r="C174" s="0">
        <f>IF(B174="", "", VLOOKUP(B174, DanhSachNhanVien, 2, FALSE))</f>
      </c>
      <c r="Q174" s="0">
        <f>IF(P174="", "", VLOOKUP(P174, DanhSachNhanVien, 2, FALSE))</f>
      </c>
      <c r="Z174" s="0">
        <f>IF(D174="", "", VLOOKUP(D174, DanhSachLoaiQuyetDinhRange, 2, FALSE))</f>
      </c>
      <c r="AA174" s="0">
        <f>IF(I174="", "", VLOOKUP(I174, DanhSachPhongBanRange, 2, FALSE))</f>
      </c>
      <c r="AB174" s="0">
        <f>IF(J174="", "", VLOOKUP(J174, DanhSachChucDanhRange, 2, FALSE))</f>
      </c>
      <c r="AC174" s="0">
        <f>IF(L174="", "", VLOOKUP(L174, ThangLuongData, 2, FALSE))</f>
      </c>
      <c r="AD174" s="0">
        <f>IF(M174="", "", VLOOKUP(M174, NgachLuongData, 2, FALSE))</f>
      </c>
      <c r="AE174" s="0">
        <f>IF(N174="", "", VLOOKUP(N174, BacLuongData, 2, FALSE))</f>
      </c>
      <c r="AF174" s="0">
        <f>IF(P174="", "", VLOOKUP(P174, DanhSachCodeId, 3, FALSE))</f>
      </c>
    </row>
    <row r="175">
      <c r="A175" s="0">
        <f>IF(B175="", "", VLOOKUP(B175, DanhSachCodeId, 3, FALSE))</f>
      </c>
      <c r="C175" s="0">
        <f>IF(B175="", "", VLOOKUP(B175, DanhSachNhanVien, 2, FALSE))</f>
      </c>
      <c r="Q175" s="0">
        <f>IF(P175="", "", VLOOKUP(P175, DanhSachNhanVien, 2, FALSE))</f>
      </c>
      <c r="Z175" s="0">
        <f>IF(D175="", "", VLOOKUP(D175, DanhSachLoaiQuyetDinhRange, 2, FALSE))</f>
      </c>
      <c r="AA175" s="0">
        <f>IF(I175="", "", VLOOKUP(I175, DanhSachPhongBanRange, 2, FALSE))</f>
      </c>
      <c r="AB175" s="0">
        <f>IF(J175="", "", VLOOKUP(J175, DanhSachChucDanhRange, 2, FALSE))</f>
      </c>
      <c r="AC175" s="0">
        <f>IF(L175="", "", VLOOKUP(L175, ThangLuongData, 2, FALSE))</f>
      </c>
      <c r="AD175" s="0">
        <f>IF(M175="", "", VLOOKUP(M175, NgachLuongData, 2, FALSE))</f>
      </c>
      <c r="AE175" s="0">
        <f>IF(N175="", "", VLOOKUP(N175, BacLuongData, 2, FALSE))</f>
      </c>
      <c r="AF175" s="0">
        <f>IF(P175="", "", VLOOKUP(P175, DanhSachCodeId, 3, FALSE))</f>
      </c>
    </row>
    <row r="176">
      <c r="A176" s="0">
        <f>IF(B176="", "", VLOOKUP(B176, DanhSachCodeId, 3, FALSE))</f>
      </c>
      <c r="C176" s="0">
        <f>IF(B176="", "", VLOOKUP(B176, DanhSachNhanVien, 2, FALSE))</f>
      </c>
      <c r="Q176" s="0">
        <f>IF(P176="", "", VLOOKUP(P176, DanhSachNhanVien, 2, FALSE))</f>
      </c>
      <c r="Z176" s="0">
        <f>IF(D176="", "", VLOOKUP(D176, DanhSachLoaiQuyetDinhRange, 2, FALSE))</f>
      </c>
      <c r="AA176" s="0">
        <f>IF(I176="", "", VLOOKUP(I176, DanhSachPhongBanRange, 2, FALSE))</f>
      </c>
      <c r="AB176" s="0">
        <f>IF(J176="", "", VLOOKUP(J176, DanhSachChucDanhRange, 2, FALSE))</f>
      </c>
      <c r="AC176" s="0">
        <f>IF(L176="", "", VLOOKUP(L176, ThangLuongData, 2, FALSE))</f>
      </c>
      <c r="AD176" s="0">
        <f>IF(M176="", "", VLOOKUP(M176, NgachLuongData, 2, FALSE))</f>
      </c>
      <c r="AE176" s="0">
        <f>IF(N176="", "", VLOOKUP(N176, BacLuongData, 2, FALSE))</f>
      </c>
      <c r="AF176" s="0">
        <f>IF(P176="", "", VLOOKUP(P176, DanhSachCodeId, 3, FALSE))</f>
      </c>
    </row>
    <row r="177">
      <c r="A177" s="0">
        <f>IF(B177="", "", VLOOKUP(B177, DanhSachCodeId, 3, FALSE))</f>
      </c>
      <c r="C177" s="0">
        <f>IF(B177="", "", VLOOKUP(B177, DanhSachNhanVien, 2, FALSE))</f>
      </c>
      <c r="Q177" s="0">
        <f>IF(P177="", "", VLOOKUP(P177, DanhSachNhanVien, 2, FALSE))</f>
      </c>
      <c r="Z177" s="0">
        <f>IF(D177="", "", VLOOKUP(D177, DanhSachLoaiQuyetDinhRange, 2, FALSE))</f>
      </c>
      <c r="AA177" s="0">
        <f>IF(I177="", "", VLOOKUP(I177, DanhSachPhongBanRange, 2, FALSE))</f>
      </c>
      <c r="AB177" s="0">
        <f>IF(J177="", "", VLOOKUP(J177, DanhSachChucDanhRange, 2, FALSE))</f>
      </c>
      <c r="AC177" s="0">
        <f>IF(L177="", "", VLOOKUP(L177, ThangLuongData, 2, FALSE))</f>
      </c>
      <c r="AD177" s="0">
        <f>IF(M177="", "", VLOOKUP(M177, NgachLuongData, 2, FALSE))</f>
      </c>
      <c r="AE177" s="0">
        <f>IF(N177="", "", VLOOKUP(N177, BacLuongData, 2, FALSE))</f>
      </c>
      <c r="AF177" s="0">
        <f>IF(P177="", "", VLOOKUP(P177, DanhSachCodeId, 3, FALSE))</f>
      </c>
    </row>
    <row r="178">
      <c r="A178" s="0">
        <f>IF(B178="", "", VLOOKUP(B178, DanhSachCodeId, 3, FALSE))</f>
      </c>
      <c r="C178" s="0">
        <f>IF(B178="", "", VLOOKUP(B178, DanhSachNhanVien, 2, FALSE))</f>
      </c>
      <c r="Q178" s="0">
        <f>IF(P178="", "", VLOOKUP(P178, DanhSachNhanVien, 2, FALSE))</f>
      </c>
      <c r="Z178" s="0">
        <f>IF(D178="", "", VLOOKUP(D178, DanhSachLoaiQuyetDinhRange, 2, FALSE))</f>
      </c>
      <c r="AA178" s="0">
        <f>IF(I178="", "", VLOOKUP(I178, DanhSachPhongBanRange, 2, FALSE))</f>
      </c>
      <c r="AB178" s="0">
        <f>IF(J178="", "", VLOOKUP(J178, DanhSachChucDanhRange, 2, FALSE))</f>
      </c>
      <c r="AC178" s="0">
        <f>IF(L178="", "", VLOOKUP(L178, ThangLuongData, 2, FALSE))</f>
      </c>
      <c r="AD178" s="0">
        <f>IF(M178="", "", VLOOKUP(M178, NgachLuongData, 2, FALSE))</f>
      </c>
      <c r="AE178" s="0">
        <f>IF(N178="", "", VLOOKUP(N178, BacLuongData, 2, FALSE))</f>
      </c>
      <c r="AF178" s="0">
        <f>IF(P178="", "", VLOOKUP(P178, DanhSachCodeId, 3, FALSE))</f>
      </c>
    </row>
    <row r="179">
      <c r="A179" s="0">
        <f>IF(B179="", "", VLOOKUP(B179, DanhSachCodeId, 3, FALSE))</f>
      </c>
      <c r="C179" s="0">
        <f>IF(B179="", "", VLOOKUP(B179, DanhSachNhanVien, 2, FALSE))</f>
      </c>
      <c r="Q179" s="0">
        <f>IF(P179="", "", VLOOKUP(P179, DanhSachNhanVien, 2, FALSE))</f>
      </c>
      <c r="Z179" s="0">
        <f>IF(D179="", "", VLOOKUP(D179, DanhSachLoaiQuyetDinhRange, 2, FALSE))</f>
      </c>
      <c r="AA179" s="0">
        <f>IF(I179="", "", VLOOKUP(I179, DanhSachPhongBanRange, 2, FALSE))</f>
      </c>
      <c r="AB179" s="0">
        <f>IF(J179="", "", VLOOKUP(J179, DanhSachChucDanhRange, 2, FALSE))</f>
      </c>
      <c r="AC179" s="0">
        <f>IF(L179="", "", VLOOKUP(L179, ThangLuongData, 2, FALSE))</f>
      </c>
      <c r="AD179" s="0">
        <f>IF(M179="", "", VLOOKUP(M179, NgachLuongData, 2, FALSE))</f>
      </c>
      <c r="AE179" s="0">
        <f>IF(N179="", "", VLOOKUP(N179, BacLuongData, 2, FALSE))</f>
      </c>
      <c r="AF179" s="0">
        <f>IF(P179="", "", VLOOKUP(P179, DanhSachCodeId, 3, FALSE))</f>
      </c>
    </row>
    <row r="180">
      <c r="A180" s="0">
        <f>IF(B180="", "", VLOOKUP(B180, DanhSachCodeId, 3, FALSE))</f>
      </c>
      <c r="C180" s="0">
        <f>IF(B180="", "", VLOOKUP(B180, DanhSachNhanVien, 2, FALSE))</f>
      </c>
      <c r="Q180" s="0">
        <f>IF(P180="", "", VLOOKUP(P180, DanhSachNhanVien, 2, FALSE))</f>
      </c>
      <c r="Z180" s="0">
        <f>IF(D180="", "", VLOOKUP(D180, DanhSachLoaiQuyetDinhRange, 2, FALSE))</f>
      </c>
      <c r="AA180" s="0">
        <f>IF(I180="", "", VLOOKUP(I180, DanhSachPhongBanRange, 2, FALSE))</f>
      </c>
      <c r="AB180" s="0">
        <f>IF(J180="", "", VLOOKUP(J180, DanhSachChucDanhRange, 2, FALSE))</f>
      </c>
      <c r="AC180" s="0">
        <f>IF(L180="", "", VLOOKUP(L180, ThangLuongData, 2, FALSE))</f>
      </c>
      <c r="AD180" s="0">
        <f>IF(M180="", "", VLOOKUP(M180, NgachLuongData, 2, FALSE))</f>
      </c>
      <c r="AE180" s="0">
        <f>IF(N180="", "", VLOOKUP(N180, BacLuongData, 2, FALSE))</f>
      </c>
      <c r="AF180" s="0">
        <f>IF(P180="", "", VLOOKUP(P180, DanhSachCodeId, 3, FALSE))</f>
      </c>
    </row>
    <row r="181">
      <c r="A181" s="0">
        <f>IF(B181="", "", VLOOKUP(B181, DanhSachCodeId, 3, FALSE))</f>
      </c>
      <c r="C181" s="0">
        <f>IF(B181="", "", VLOOKUP(B181, DanhSachNhanVien, 2, FALSE))</f>
      </c>
      <c r="Q181" s="0">
        <f>IF(P181="", "", VLOOKUP(P181, DanhSachNhanVien, 2, FALSE))</f>
      </c>
      <c r="Z181" s="0">
        <f>IF(D181="", "", VLOOKUP(D181, DanhSachLoaiQuyetDinhRange, 2, FALSE))</f>
      </c>
      <c r="AA181" s="0">
        <f>IF(I181="", "", VLOOKUP(I181, DanhSachPhongBanRange, 2, FALSE))</f>
      </c>
      <c r="AB181" s="0">
        <f>IF(J181="", "", VLOOKUP(J181, DanhSachChucDanhRange, 2, FALSE))</f>
      </c>
      <c r="AC181" s="0">
        <f>IF(L181="", "", VLOOKUP(L181, ThangLuongData, 2, FALSE))</f>
      </c>
      <c r="AD181" s="0">
        <f>IF(M181="", "", VLOOKUP(M181, NgachLuongData, 2, FALSE))</f>
      </c>
      <c r="AE181" s="0">
        <f>IF(N181="", "", VLOOKUP(N181, BacLuongData, 2, FALSE))</f>
      </c>
      <c r="AF181" s="0">
        <f>IF(P181="", "", VLOOKUP(P181, DanhSachCodeId, 3, FALSE))</f>
      </c>
    </row>
    <row r="182">
      <c r="A182" s="0">
        <f>IF(B182="", "", VLOOKUP(B182, DanhSachCodeId, 3, FALSE))</f>
      </c>
      <c r="C182" s="0">
        <f>IF(B182="", "", VLOOKUP(B182, DanhSachNhanVien, 2, FALSE))</f>
      </c>
      <c r="Q182" s="0">
        <f>IF(P182="", "", VLOOKUP(P182, DanhSachNhanVien, 2, FALSE))</f>
      </c>
      <c r="Z182" s="0">
        <f>IF(D182="", "", VLOOKUP(D182, DanhSachLoaiQuyetDinhRange, 2, FALSE))</f>
      </c>
      <c r="AA182" s="0">
        <f>IF(I182="", "", VLOOKUP(I182, DanhSachPhongBanRange, 2, FALSE))</f>
      </c>
      <c r="AB182" s="0">
        <f>IF(J182="", "", VLOOKUP(J182, DanhSachChucDanhRange, 2, FALSE))</f>
      </c>
      <c r="AC182" s="0">
        <f>IF(L182="", "", VLOOKUP(L182, ThangLuongData, 2, FALSE))</f>
      </c>
      <c r="AD182" s="0">
        <f>IF(M182="", "", VLOOKUP(M182, NgachLuongData, 2, FALSE))</f>
      </c>
      <c r="AE182" s="0">
        <f>IF(N182="", "", VLOOKUP(N182, BacLuongData, 2, FALSE))</f>
      </c>
      <c r="AF182" s="0">
        <f>IF(P182="", "", VLOOKUP(P182, DanhSachCodeId, 3, FALSE))</f>
      </c>
    </row>
    <row r="183">
      <c r="A183" s="0">
        <f>IF(B183="", "", VLOOKUP(B183, DanhSachCodeId, 3, FALSE))</f>
      </c>
      <c r="C183" s="0">
        <f>IF(B183="", "", VLOOKUP(B183, DanhSachNhanVien, 2, FALSE))</f>
      </c>
      <c r="Q183" s="0">
        <f>IF(P183="", "", VLOOKUP(P183, DanhSachNhanVien, 2, FALSE))</f>
      </c>
      <c r="Z183" s="0">
        <f>IF(D183="", "", VLOOKUP(D183, DanhSachLoaiQuyetDinhRange, 2, FALSE))</f>
      </c>
      <c r="AA183" s="0">
        <f>IF(I183="", "", VLOOKUP(I183, DanhSachPhongBanRange, 2, FALSE))</f>
      </c>
      <c r="AB183" s="0">
        <f>IF(J183="", "", VLOOKUP(J183, DanhSachChucDanhRange, 2, FALSE))</f>
      </c>
      <c r="AC183" s="0">
        <f>IF(L183="", "", VLOOKUP(L183, ThangLuongData, 2, FALSE))</f>
      </c>
      <c r="AD183" s="0">
        <f>IF(M183="", "", VLOOKUP(M183, NgachLuongData, 2, FALSE))</f>
      </c>
      <c r="AE183" s="0">
        <f>IF(N183="", "", VLOOKUP(N183, BacLuongData, 2, FALSE))</f>
      </c>
      <c r="AF183" s="0">
        <f>IF(P183="", "", VLOOKUP(P183, DanhSachCodeId, 3, FALSE))</f>
      </c>
    </row>
    <row r="184">
      <c r="A184" s="0">
        <f>IF(B184="", "", VLOOKUP(B184, DanhSachCodeId, 3, FALSE))</f>
      </c>
      <c r="C184" s="0">
        <f>IF(B184="", "", VLOOKUP(B184, DanhSachNhanVien, 2, FALSE))</f>
      </c>
      <c r="Q184" s="0">
        <f>IF(P184="", "", VLOOKUP(P184, DanhSachNhanVien, 2, FALSE))</f>
      </c>
      <c r="Z184" s="0">
        <f>IF(D184="", "", VLOOKUP(D184, DanhSachLoaiQuyetDinhRange, 2, FALSE))</f>
      </c>
      <c r="AA184" s="0">
        <f>IF(I184="", "", VLOOKUP(I184, DanhSachPhongBanRange, 2, FALSE))</f>
      </c>
      <c r="AB184" s="0">
        <f>IF(J184="", "", VLOOKUP(J184, DanhSachChucDanhRange, 2, FALSE))</f>
      </c>
      <c r="AC184" s="0">
        <f>IF(L184="", "", VLOOKUP(L184, ThangLuongData, 2, FALSE))</f>
      </c>
      <c r="AD184" s="0">
        <f>IF(M184="", "", VLOOKUP(M184, NgachLuongData, 2, FALSE))</f>
      </c>
      <c r="AE184" s="0">
        <f>IF(N184="", "", VLOOKUP(N184, BacLuongData, 2, FALSE))</f>
      </c>
      <c r="AF184" s="0">
        <f>IF(P184="", "", VLOOKUP(P184, DanhSachCodeId, 3, FALSE))</f>
      </c>
    </row>
    <row r="185">
      <c r="A185" s="0">
        <f>IF(B185="", "", VLOOKUP(B185, DanhSachCodeId, 3, FALSE))</f>
      </c>
      <c r="C185" s="0">
        <f>IF(B185="", "", VLOOKUP(B185, DanhSachNhanVien, 2, FALSE))</f>
      </c>
      <c r="Q185" s="0">
        <f>IF(P185="", "", VLOOKUP(P185, DanhSachNhanVien, 2, FALSE))</f>
      </c>
      <c r="Z185" s="0">
        <f>IF(D185="", "", VLOOKUP(D185, DanhSachLoaiQuyetDinhRange, 2, FALSE))</f>
      </c>
      <c r="AA185" s="0">
        <f>IF(I185="", "", VLOOKUP(I185, DanhSachPhongBanRange, 2, FALSE))</f>
      </c>
      <c r="AB185" s="0">
        <f>IF(J185="", "", VLOOKUP(J185, DanhSachChucDanhRange, 2, FALSE))</f>
      </c>
      <c r="AC185" s="0">
        <f>IF(L185="", "", VLOOKUP(L185, ThangLuongData, 2, FALSE))</f>
      </c>
      <c r="AD185" s="0">
        <f>IF(M185="", "", VLOOKUP(M185, NgachLuongData, 2, FALSE))</f>
      </c>
      <c r="AE185" s="0">
        <f>IF(N185="", "", VLOOKUP(N185, BacLuongData, 2, FALSE))</f>
      </c>
      <c r="AF185" s="0">
        <f>IF(P185="", "", VLOOKUP(P185, DanhSachCodeId, 3, FALSE))</f>
      </c>
    </row>
    <row r="186">
      <c r="A186" s="0">
        <f>IF(B186="", "", VLOOKUP(B186, DanhSachCodeId, 3, FALSE))</f>
      </c>
      <c r="C186" s="0">
        <f>IF(B186="", "", VLOOKUP(B186, DanhSachNhanVien, 2, FALSE))</f>
      </c>
      <c r="Q186" s="0">
        <f>IF(P186="", "", VLOOKUP(P186, DanhSachNhanVien, 2, FALSE))</f>
      </c>
      <c r="Z186" s="0">
        <f>IF(D186="", "", VLOOKUP(D186, DanhSachLoaiQuyetDinhRange, 2, FALSE))</f>
      </c>
      <c r="AA186" s="0">
        <f>IF(I186="", "", VLOOKUP(I186, DanhSachPhongBanRange, 2, FALSE))</f>
      </c>
      <c r="AB186" s="0">
        <f>IF(J186="", "", VLOOKUP(J186, DanhSachChucDanhRange, 2, FALSE))</f>
      </c>
      <c r="AC186" s="0">
        <f>IF(L186="", "", VLOOKUP(L186, ThangLuongData, 2, FALSE))</f>
      </c>
      <c r="AD186" s="0">
        <f>IF(M186="", "", VLOOKUP(M186, NgachLuongData, 2, FALSE))</f>
      </c>
      <c r="AE186" s="0">
        <f>IF(N186="", "", VLOOKUP(N186, BacLuongData, 2, FALSE))</f>
      </c>
      <c r="AF186" s="0">
        <f>IF(P186="", "", VLOOKUP(P186, DanhSachCodeId, 3, FALSE))</f>
      </c>
    </row>
    <row r="187">
      <c r="A187" s="0">
        <f>IF(B187="", "", VLOOKUP(B187, DanhSachCodeId, 3, FALSE))</f>
      </c>
      <c r="C187" s="0">
        <f>IF(B187="", "", VLOOKUP(B187, DanhSachNhanVien, 2, FALSE))</f>
      </c>
      <c r="Q187" s="0">
        <f>IF(P187="", "", VLOOKUP(P187, DanhSachNhanVien, 2, FALSE))</f>
      </c>
      <c r="Z187" s="0">
        <f>IF(D187="", "", VLOOKUP(D187, DanhSachLoaiQuyetDinhRange, 2, FALSE))</f>
      </c>
      <c r="AA187" s="0">
        <f>IF(I187="", "", VLOOKUP(I187, DanhSachPhongBanRange, 2, FALSE))</f>
      </c>
      <c r="AB187" s="0">
        <f>IF(J187="", "", VLOOKUP(J187, DanhSachChucDanhRange, 2, FALSE))</f>
      </c>
      <c r="AC187" s="0">
        <f>IF(L187="", "", VLOOKUP(L187, ThangLuongData, 2, FALSE))</f>
      </c>
      <c r="AD187" s="0">
        <f>IF(M187="", "", VLOOKUP(M187, NgachLuongData, 2, FALSE))</f>
      </c>
      <c r="AE187" s="0">
        <f>IF(N187="", "", VLOOKUP(N187, BacLuongData, 2, FALSE))</f>
      </c>
      <c r="AF187" s="0">
        <f>IF(P187="", "", VLOOKUP(P187, DanhSachCodeId, 3, FALSE))</f>
      </c>
    </row>
    <row r="188">
      <c r="A188" s="0">
        <f>IF(B188="", "", VLOOKUP(B188, DanhSachCodeId, 3, FALSE))</f>
      </c>
      <c r="C188" s="0">
        <f>IF(B188="", "", VLOOKUP(B188, DanhSachNhanVien, 2, FALSE))</f>
      </c>
      <c r="Q188" s="0">
        <f>IF(P188="", "", VLOOKUP(P188, DanhSachNhanVien, 2, FALSE))</f>
      </c>
      <c r="Z188" s="0">
        <f>IF(D188="", "", VLOOKUP(D188, DanhSachLoaiQuyetDinhRange, 2, FALSE))</f>
      </c>
      <c r="AA188" s="0">
        <f>IF(I188="", "", VLOOKUP(I188, DanhSachPhongBanRange, 2, FALSE))</f>
      </c>
      <c r="AB188" s="0">
        <f>IF(J188="", "", VLOOKUP(J188, DanhSachChucDanhRange, 2, FALSE))</f>
      </c>
      <c r="AC188" s="0">
        <f>IF(L188="", "", VLOOKUP(L188, ThangLuongData, 2, FALSE))</f>
      </c>
      <c r="AD188" s="0">
        <f>IF(M188="", "", VLOOKUP(M188, NgachLuongData, 2, FALSE))</f>
      </c>
      <c r="AE188" s="0">
        <f>IF(N188="", "", VLOOKUP(N188, BacLuongData, 2, FALSE))</f>
      </c>
      <c r="AF188" s="0">
        <f>IF(P188="", "", VLOOKUP(P188, DanhSachCodeId, 3, FALSE))</f>
      </c>
    </row>
    <row r="189">
      <c r="A189" s="0">
        <f>IF(B189="", "", VLOOKUP(B189, DanhSachCodeId, 3, FALSE))</f>
      </c>
      <c r="C189" s="0">
        <f>IF(B189="", "", VLOOKUP(B189, DanhSachNhanVien, 2, FALSE))</f>
      </c>
      <c r="Q189" s="0">
        <f>IF(P189="", "", VLOOKUP(P189, DanhSachNhanVien, 2, FALSE))</f>
      </c>
      <c r="Z189" s="0">
        <f>IF(D189="", "", VLOOKUP(D189, DanhSachLoaiQuyetDinhRange, 2, FALSE))</f>
      </c>
      <c r="AA189" s="0">
        <f>IF(I189="", "", VLOOKUP(I189, DanhSachPhongBanRange, 2, FALSE))</f>
      </c>
      <c r="AB189" s="0">
        <f>IF(J189="", "", VLOOKUP(J189, DanhSachChucDanhRange, 2, FALSE))</f>
      </c>
      <c r="AC189" s="0">
        <f>IF(L189="", "", VLOOKUP(L189, ThangLuongData, 2, FALSE))</f>
      </c>
      <c r="AD189" s="0">
        <f>IF(M189="", "", VLOOKUP(M189, NgachLuongData, 2, FALSE))</f>
      </c>
      <c r="AE189" s="0">
        <f>IF(N189="", "", VLOOKUP(N189, BacLuongData, 2, FALSE))</f>
      </c>
      <c r="AF189" s="0">
        <f>IF(P189="", "", VLOOKUP(P189, DanhSachCodeId, 3, FALSE))</f>
      </c>
    </row>
    <row r="190">
      <c r="A190" s="0">
        <f>IF(B190="", "", VLOOKUP(B190, DanhSachCodeId, 3, FALSE))</f>
      </c>
      <c r="C190" s="0">
        <f>IF(B190="", "", VLOOKUP(B190, DanhSachNhanVien, 2, FALSE))</f>
      </c>
      <c r="Q190" s="0">
        <f>IF(P190="", "", VLOOKUP(P190, DanhSachNhanVien, 2, FALSE))</f>
      </c>
      <c r="Z190" s="0">
        <f>IF(D190="", "", VLOOKUP(D190, DanhSachLoaiQuyetDinhRange, 2, FALSE))</f>
      </c>
      <c r="AA190" s="0">
        <f>IF(I190="", "", VLOOKUP(I190, DanhSachPhongBanRange, 2, FALSE))</f>
      </c>
      <c r="AB190" s="0">
        <f>IF(J190="", "", VLOOKUP(J190, DanhSachChucDanhRange, 2, FALSE))</f>
      </c>
      <c r="AC190" s="0">
        <f>IF(L190="", "", VLOOKUP(L190, ThangLuongData, 2, FALSE))</f>
      </c>
      <c r="AD190" s="0">
        <f>IF(M190="", "", VLOOKUP(M190, NgachLuongData, 2, FALSE))</f>
      </c>
      <c r="AE190" s="0">
        <f>IF(N190="", "", VLOOKUP(N190, BacLuongData, 2, FALSE))</f>
      </c>
      <c r="AF190" s="0">
        <f>IF(P190="", "", VLOOKUP(P190, DanhSachCodeId, 3, FALSE))</f>
      </c>
    </row>
    <row r="191">
      <c r="A191" s="0">
        <f>IF(B191="", "", VLOOKUP(B191, DanhSachCodeId, 3, FALSE))</f>
      </c>
      <c r="C191" s="0">
        <f>IF(B191="", "", VLOOKUP(B191, DanhSachNhanVien, 2, FALSE))</f>
      </c>
      <c r="Q191" s="0">
        <f>IF(P191="", "", VLOOKUP(P191, DanhSachNhanVien, 2, FALSE))</f>
      </c>
      <c r="Z191" s="0">
        <f>IF(D191="", "", VLOOKUP(D191, DanhSachLoaiQuyetDinhRange, 2, FALSE))</f>
      </c>
      <c r="AA191" s="0">
        <f>IF(I191="", "", VLOOKUP(I191, DanhSachPhongBanRange, 2, FALSE))</f>
      </c>
      <c r="AB191" s="0">
        <f>IF(J191="", "", VLOOKUP(J191, DanhSachChucDanhRange, 2, FALSE))</f>
      </c>
      <c r="AC191" s="0">
        <f>IF(L191="", "", VLOOKUP(L191, ThangLuongData, 2, FALSE))</f>
      </c>
      <c r="AD191" s="0">
        <f>IF(M191="", "", VLOOKUP(M191, NgachLuongData, 2, FALSE))</f>
      </c>
      <c r="AE191" s="0">
        <f>IF(N191="", "", VLOOKUP(N191, BacLuongData, 2, FALSE))</f>
      </c>
      <c r="AF191" s="0">
        <f>IF(P191="", "", VLOOKUP(P191, DanhSachCodeId, 3, FALSE))</f>
      </c>
    </row>
    <row r="192">
      <c r="A192" s="0">
        <f>IF(B192="", "", VLOOKUP(B192, DanhSachCodeId, 3, FALSE))</f>
      </c>
      <c r="C192" s="0">
        <f>IF(B192="", "", VLOOKUP(B192, DanhSachNhanVien, 2, FALSE))</f>
      </c>
      <c r="Q192" s="0">
        <f>IF(P192="", "", VLOOKUP(P192, DanhSachNhanVien, 2, FALSE))</f>
      </c>
      <c r="Z192" s="0">
        <f>IF(D192="", "", VLOOKUP(D192, DanhSachLoaiQuyetDinhRange, 2, FALSE))</f>
      </c>
      <c r="AA192" s="0">
        <f>IF(I192="", "", VLOOKUP(I192, DanhSachPhongBanRange, 2, FALSE))</f>
      </c>
      <c r="AB192" s="0">
        <f>IF(J192="", "", VLOOKUP(J192, DanhSachChucDanhRange, 2, FALSE))</f>
      </c>
      <c r="AC192" s="0">
        <f>IF(L192="", "", VLOOKUP(L192, ThangLuongData, 2, FALSE))</f>
      </c>
      <c r="AD192" s="0">
        <f>IF(M192="", "", VLOOKUP(M192, NgachLuongData, 2, FALSE))</f>
      </c>
      <c r="AE192" s="0">
        <f>IF(N192="", "", VLOOKUP(N192, BacLuongData, 2, FALSE))</f>
      </c>
      <c r="AF192" s="0">
        <f>IF(P192="", "", VLOOKUP(P192, DanhSachCodeId, 3, FALSE))</f>
      </c>
    </row>
    <row r="193">
      <c r="A193" s="0">
        <f>IF(B193="", "", VLOOKUP(B193, DanhSachCodeId, 3, FALSE))</f>
      </c>
      <c r="C193" s="0">
        <f>IF(B193="", "", VLOOKUP(B193, DanhSachNhanVien, 2, FALSE))</f>
      </c>
      <c r="Q193" s="0">
        <f>IF(P193="", "", VLOOKUP(P193, DanhSachNhanVien, 2, FALSE))</f>
      </c>
      <c r="Z193" s="0">
        <f>IF(D193="", "", VLOOKUP(D193, DanhSachLoaiQuyetDinhRange, 2, FALSE))</f>
      </c>
      <c r="AA193" s="0">
        <f>IF(I193="", "", VLOOKUP(I193, DanhSachPhongBanRange, 2, FALSE))</f>
      </c>
      <c r="AB193" s="0">
        <f>IF(J193="", "", VLOOKUP(J193, DanhSachChucDanhRange, 2, FALSE))</f>
      </c>
      <c r="AC193" s="0">
        <f>IF(L193="", "", VLOOKUP(L193, ThangLuongData, 2, FALSE))</f>
      </c>
      <c r="AD193" s="0">
        <f>IF(M193="", "", VLOOKUP(M193, NgachLuongData, 2, FALSE))</f>
      </c>
      <c r="AE193" s="0">
        <f>IF(N193="", "", VLOOKUP(N193, BacLuongData, 2, FALSE))</f>
      </c>
      <c r="AF193" s="0">
        <f>IF(P193="", "", VLOOKUP(P193, DanhSachCodeId, 3, FALSE))</f>
      </c>
    </row>
    <row r="194">
      <c r="A194" s="0">
        <f>IF(B194="", "", VLOOKUP(B194, DanhSachCodeId, 3, FALSE))</f>
      </c>
      <c r="C194" s="0">
        <f>IF(B194="", "", VLOOKUP(B194, DanhSachNhanVien, 2, FALSE))</f>
      </c>
      <c r="Q194" s="0">
        <f>IF(P194="", "", VLOOKUP(P194, DanhSachNhanVien, 2, FALSE))</f>
      </c>
      <c r="Z194" s="0">
        <f>IF(D194="", "", VLOOKUP(D194, DanhSachLoaiQuyetDinhRange, 2, FALSE))</f>
      </c>
      <c r="AA194" s="0">
        <f>IF(I194="", "", VLOOKUP(I194, DanhSachPhongBanRange, 2, FALSE))</f>
      </c>
      <c r="AB194" s="0">
        <f>IF(J194="", "", VLOOKUP(J194, DanhSachChucDanhRange, 2, FALSE))</f>
      </c>
      <c r="AC194" s="0">
        <f>IF(L194="", "", VLOOKUP(L194, ThangLuongData, 2, FALSE))</f>
      </c>
      <c r="AD194" s="0">
        <f>IF(M194="", "", VLOOKUP(M194, NgachLuongData, 2, FALSE))</f>
      </c>
      <c r="AE194" s="0">
        <f>IF(N194="", "", VLOOKUP(N194, BacLuongData, 2, FALSE))</f>
      </c>
      <c r="AF194" s="0">
        <f>IF(P194="", "", VLOOKUP(P194, DanhSachCodeId, 3, FALSE))</f>
      </c>
    </row>
    <row r="195">
      <c r="A195" s="0">
        <f>IF(B195="", "", VLOOKUP(B195, DanhSachCodeId, 3, FALSE))</f>
      </c>
      <c r="C195" s="0">
        <f>IF(B195="", "", VLOOKUP(B195, DanhSachNhanVien, 2, FALSE))</f>
      </c>
      <c r="Q195" s="0">
        <f>IF(P195="", "", VLOOKUP(P195, DanhSachNhanVien, 2, FALSE))</f>
      </c>
      <c r="Z195" s="0">
        <f>IF(D195="", "", VLOOKUP(D195, DanhSachLoaiQuyetDinhRange, 2, FALSE))</f>
      </c>
      <c r="AA195" s="0">
        <f>IF(I195="", "", VLOOKUP(I195, DanhSachPhongBanRange, 2, FALSE))</f>
      </c>
      <c r="AB195" s="0">
        <f>IF(J195="", "", VLOOKUP(J195, DanhSachChucDanhRange, 2, FALSE))</f>
      </c>
      <c r="AC195" s="0">
        <f>IF(L195="", "", VLOOKUP(L195, ThangLuongData, 2, FALSE))</f>
      </c>
      <c r="AD195" s="0">
        <f>IF(M195="", "", VLOOKUP(M195, NgachLuongData, 2, FALSE))</f>
      </c>
      <c r="AE195" s="0">
        <f>IF(N195="", "", VLOOKUP(N195, BacLuongData, 2, FALSE))</f>
      </c>
      <c r="AF195" s="0">
        <f>IF(P195="", "", VLOOKUP(P195, DanhSachCodeId, 3, FALSE))</f>
      </c>
    </row>
    <row r="196">
      <c r="A196" s="0">
        <f>IF(B196="", "", VLOOKUP(B196, DanhSachCodeId, 3, FALSE))</f>
      </c>
      <c r="C196" s="0">
        <f>IF(B196="", "", VLOOKUP(B196, DanhSachNhanVien, 2, FALSE))</f>
      </c>
      <c r="Q196" s="0">
        <f>IF(P196="", "", VLOOKUP(P196, DanhSachNhanVien, 2, FALSE))</f>
      </c>
      <c r="Z196" s="0">
        <f>IF(D196="", "", VLOOKUP(D196, DanhSachLoaiQuyetDinhRange, 2, FALSE))</f>
      </c>
      <c r="AA196" s="0">
        <f>IF(I196="", "", VLOOKUP(I196, DanhSachPhongBanRange, 2, FALSE))</f>
      </c>
      <c r="AB196" s="0">
        <f>IF(J196="", "", VLOOKUP(J196, DanhSachChucDanhRange, 2, FALSE))</f>
      </c>
      <c r="AC196" s="0">
        <f>IF(L196="", "", VLOOKUP(L196, ThangLuongData, 2, FALSE))</f>
      </c>
      <c r="AD196" s="0">
        <f>IF(M196="", "", VLOOKUP(M196, NgachLuongData, 2, FALSE))</f>
      </c>
      <c r="AE196" s="0">
        <f>IF(N196="", "", VLOOKUP(N196, BacLuongData, 2, FALSE))</f>
      </c>
      <c r="AF196" s="0">
        <f>IF(P196="", "", VLOOKUP(P196, DanhSachCodeId, 3, FALSE))</f>
      </c>
    </row>
    <row r="197">
      <c r="A197" s="0">
        <f>IF(B197="", "", VLOOKUP(B197, DanhSachCodeId, 3, FALSE))</f>
      </c>
      <c r="C197" s="0">
        <f>IF(B197="", "", VLOOKUP(B197, DanhSachNhanVien, 2, FALSE))</f>
      </c>
      <c r="Q197" s="0">
        <f>IF(P197="", "", VLOOKUP(P197, DanhSachNhanVien, 2, FALSE))</f>
      </c>
      <c r="Z197" s="0">
        <f>IF(D197="", "", VLOOKUP(D197, DanhSachLoaiQuyetDinhRange, 2, FALSE))</f>
      </c>
      <c r="AA197" s="0">
        <f>IF(I197="", "", VLOOKUP(I197, DanhSachPhongBanRange, 2, FALSE))</f>
      </c>
      <c r="AB197" s="0">
        <f>IF(J197="", "", VLOOKUP(J197, DanhSachChucDanhRange, 2, FALSE))</f>
      </c>
      <c r="AC197" s="0">
        <f>IF(L197="", "", VLOOKUP(L197, ThangLuongData, 2, FALSE))</f>
      </c>
      <c r="AD197" s="0">
        <f>IF(M197="", "", VLOOKUP(M197, NgachLuongData, 2, FALSE))</f>
      </c>
      <c r="AE197" s="0">
        <f>IF(N197="", "", VLOOKUP(N197, BacLuongData, 2, FALSE))</f>
      </c>
      <c r="AF197" s="0">
        <f>IF(P197="", "", VLOOKUP(P197, DanhSachCodeId, 3, FALSE))</f>
      </c>
    </row>
    <row r="198">
      <c r="A198" s="0">
        <f>IF(B198="", "", VLOOKUP(B198, DanhSachCodeId, 3, FALSE))</f>
      </c>
      <c r="C198" s="0">
        <f>IF(B198="", "", VLOOKUP(B198, DanhSachNhanVien, 2, FALSE))</f>
      </c>
      <c r="Q198" s="0">
        <f>IF(P198="", "", VLOOKUP(P198, DanhSachNhanVien, 2, FALSE))</f>
      </c>
      <c r="Z198" s="0">
        <f>IF(D198="", "", VLOOKUP(D198, DanhSachLoaiQuyetDinhRange, 2, FALSE))</f>
      </c>
      <c r="AA198" s="0">
        <f>IF(I198="", "", VLOOKUP(I198, DanhSachPhongBanRange, 2, FALSE))</f>
      </c>
      <c r="AB198" s="0">
        <f>IF(J198="", "", VLOOKUP(J198, DanhSachChucDanhRange, 2, FALSE))</f>
      </c>
      <c r="AC198" s="0">
        <f>IF(L198="", "", VLOOKUP(L198, ThangLuongData, 2, FALSE))</f>
      </c>
      <c r="AD198" s="0">
        <f>IF(M198="", "", VLOOKUP(M198, NgachLuongData, 2, FALSE))</f>
      </c>
      <c r="AE198" s="0">
        <f>IF(N198="", "", VLOOKUP(N198, BacLuongData, 2, FALSE))</f>
      </c>
      <c r="AF198" s="0">
        <f>IF(P198="", "", VLOOKUP(P198, DanhSachCodeId, 3, FALSE))</f>
      </c>
    </row>
    <row r="199">
      <c r="A199" s="0">
        <f>IF(B199="", "", VLOOKUP(B199, DanhSachCodeId, 3, FALSE))</f>
      </c>
      <c r="C199" s="0">
        <f>IF(B199="", "", VLOOKUP(B199, DanhSachNhanVien, 2, FALSE))</f>
      </c>
      <c r="Q199" s="0">
        <f>IF(P199="", "", VLOOKUP(P199, DanhSachNhanVien, 2, FALSE))</f>
      </c>
      <c r="Z199" s="0">
        <f>IF(D199="", "", VLOOKUP(D199, DanhSachLoaiQuyetDinhRange, 2, FALSE))</f>
      </c>
      <c r="AA199" s="0">
        <f>IF(I199="", "", VLOOKUP(I199, DanhSachPhongBanRange, 2, FALSE))</f>
      </c>
      <c r="AB199" s="0">
        <f>IF(J199="", "", VLOOKUP(J199, DanhSachChucDanhRange, 2, FALSE))</f>
      </c>
      <c r="AC199" s="0">
        <f>IF(L199="", "", VLOOKUP(L199, ThangLuongData, 2, FALSE))</f>
      </c>
      <c r="AD199" s="0">
        <f>IF(M199="", "", VLOOKUP(M199, NgachLuongData, 2, FALSE))</f>
      </c>
      <c r="AE199" s="0">
        <f>IF(N199="", "", VLOOKUP(N199, BacLuongData, 2, FALSE))</f>
      </c>
      <c r="AF199" s="0">
        <f>IF(P199="", "", VLOOKUP(P199, DanhSachCodeId, 3, FALSE))</f>
      </c>
    </row>
    <row r="200">
      <c r="A200" s="0">
        <f>IF(B200="", "", VLOOKUP(B200, DanhSachCodeId, 3, FALSE))</f>
      </c>
      <c r="C200" s="0">
        <f>IF(B200="", "", VLOOKUP(B200, DanhSachNhanVien, 2, FALSE))</f>
      </c>
      <c r="Q200" s="0">
        <f>IF(P200="", "", VLOOKUP(P200, DanhSachNhanVien, 2, FALSE))</f>
      </c>
      <c r="Z200" s="0">
        <f>IF(D200="", "", VLOOKUP(D200, DanhSachLoaiQuyetDinhRange, 2, FALSE))</f>
      </c>
      <c r="AA200" s="0">
        <f>IF(I200="", "", VLOOKUP(I200, DanhSachPhongBanRange, 2, FALSE))</f>
      </c>
      <c r="AB200" s="0">
        <f>IF(J200="", "", VLOOKUP(J200, DanhSachChucDanhRange, 2, FALSE))</f>
      </c>
      <c r="AC200" s="0">
        <f>IF(L200="", "", VLOOKUP(L200, ThangLuongData, 2, FALSE))</f>
      </c>
      <c r="AD200" s="0">
        <f>IF(M200="", "", VLOOKUP(M200, NgachLuongData, 2, FALSE))</f>
      </c>
      <c r="AE200" s="0">
        <f>IF(N200="", "", VLOOKUP(N200, BacLuongData, 2, FALSE))</f>
      </c>
      <c r="AF200" s="0">
        <f>IF(P200="", "", VLOOKUP(P200, DanhSachCodeId, 3, FALSE))</f>
      </c>
    </row>
    <row r="201">
      <c r="A201" s="0">
        <f>IF(B201="", "", VLOOKUP(B201, DanhSachCodeId, 3, FALSE))</f>
      </c>
      <c r="C201" s="0">
        <f>IF(B201="", "", VLOOKUP(B201, DanhSachNhanVien, 2, FALSE))</f>
      </c>
      <c r="Q201" s="0">
        <f>IF(P201="", "", VLOOKUP(P201, DanhSachNhanVien, 2, FALSE))</f>
      </c>
      <c r="Z201" s="0">
        <f>IF(D201="", "", VLOOKUP(D201, DanhSachLoaiQuyetDinhRange, 2, FALSE))</f>
      </c>
      <c r="AA201" s="0">
        <f>IF(I201="", "", VLOOKUP(I201, DanhSachPhongBanRange, 2, FALSE))</f>
      </c>
      <c r="AB201" s="0">
        <f>IF(J201="", "", VLOOKUP(J201, DanhSachChucDanhRange, 2, FALSE))</f>
      </c>
      <c r="AC201" s="0">
        <f>IF(L201="", "", VLOOKUP(L201, ThangLuongData, 2, FALSE))</f>
      </c>
      <c r="AD201" s="0">
        <f>IF(M201="", "", VLOOKUP(M201, NgachLuongData, 2, FALSE))</f>
      </c>
      <c r="AE201" s="0">
        <f>IF(N201="", "", VLOOKUP(N201, BacLuongData, 2, FALSE))</f>
      </c>
      <c r="AF201" s="0">
        <f>IF(P201="", "", VLOOKUP(P201, DanhSachCodeId, 3, FALSE))</f>
      </c>
    </row>
    <row r="202">
      <c r="A202" s="0">
        <f>IF(B202="", "", VLOOKUP(B202, DanhSachCodeId, 3, FALSE))</f>
      </c>
      <c r="C202" s="0">
        <f>IF(B202="", "", VLOOKUP(B202, DanhSachNhanVien, 2, FALSE))</f>
      </c>
      <c r="Q202" s="0">
        <f>IF(P202="", "", VLOOKUP(P202, DanhSachNhanVien, 2, FALSE))</f>
      </c>
      <c r="Z202" s="0">
        <f>IF(D202="", "", VLOOKUP(D202, DanhSachLoaiQuyetDinhRange, 2, FALSE))</f>
      </c>
      <c r="AA202" s="0">
        <f>IF(I202="", "", VLOOKUP(I202, DanhSachPhongBanRange, 2, FALSE))</f>
      </c>
      <c r="AB202" s="0">
        <f>IF(J202="", "", VLOOKUP(J202, DanhSachChucDanhRange, 2, FALSE))</f>
      </c>
      <c r="AC202" s="0">
        <f>IF(L202="", "", VLOOKUP(L202, ThangLuongData, 2, FALSE))</f>
      </c>
      <c r="AD202" s="0">
        <f>IF(M202="", "", VLOOKUP(M202, NgachLuongData, 2, FALSE))</f>
      </c>
      <c r="AE202" s="0">
        <f>IF(N202="", "", VLOOKUP(N202, BacLuongData, 2, FALSE))</f>
      </c>
      <c r="AF202" s="0">
        <f>IF(P202="", "", VLOOKUP(P202, DanhSachCodeId, 3, FALSE))</f>
      </c>
    </row>
    <row r="203">
      <c r="A203" s="0">
        <f>IF(B203="", "", VLOOKUP(B203, DanhSachCodeId, 3, FALSE))</f>
      </c>
      <c r="C203" s="0">
        <f>IF(B203="", "", VLOOKUP(B203, DanhSachNhanVien, 2, FALSE))</f>
      </c>
      <c r="Q203" s="0">
        <f>IF(P203="", "", VLOOKUP(P203, DanhSachNhanVien, 2, FALSE))</f>
      </c>
      <c r="Z203" s="0">
        <f>IF(D203="", "", VLOOKUP(D203, DanhSachLoaiQuyetDinhRange, 2, FALSE))</f>
      </c>
      <c r="AA203" s="0">
        <f>IF(I203="", "", VLOOKUP(I203, DanhSachPhongBanRange, 2, FALSE))</f>
      </c>
      <c r="AB203" s="0">
        <f>IF(J203="", "", VLOOKUP(J203, DanhSachChucDanhRange, 2, FALSE))</f>
      </c>
      <c r="AC203" s="0">
        <f>IF(L203="", "", VLOOKUP(L203, ThangLuongData, 2, FALSE))</f>
      </c>
      <c r="AD203" s="0">
        <f>IF(M203="", "", VLOOKUP(M203, NgachLuongData, 2, FALSE))</f>
      </c>
      <c r="AE203" s="0">
        <f>IF(N203="", "", VLOOKUP(N203, BacLuongData, 2, FALSE))</f>
      </c>
      <c r="AF203" s="0">
        <f>IF(P203="", "", VLOOKUP(P203, DanhSachCodeId, 3, FALSE))</f>
      </c>
    </row>
    <row r="204">
      <c r="A204" s="0">
        <f>IF(B204="", "", VLOOKUP(B204, DanhSachCodeId, 3, FALSE))</f>
      </c>
      <c r="C204" s="0">
        <f>IF(B204="", "", VLOOKUP(B204, DanhSachNhanVien, 2, FALSE))</f>
      </c>
      <c r="Q204" s="0">
        <f>IF(P204="", "", VLOOKUP(P204, DanhSachNhanVien, 2, FALSE))</f>
      </c>
      <c r="Z204" s="0">
        <f>IF(D204="", "", VLOOKUP(D204, DanhSachLoaiQuyetDinhRange, 2, FALSE))</f>
      </c>
      <c r="AA204" s="0">
        <f>IF(I204="", "", VLOOKUP(I204, DanhSachPhongBanRange, 2, FALSE))</f>
      </c>
      <c r="AB204" s="0">
        <f>IF(J204="", "", VLOOKUP(J204, DanhSachChucDanhRange, 2, FALSE))</f>
      </c>
      <c r="AC204" s="0">
        <f>IF(L204="", "", VLOOKUP(L204, ThangLuongData, 2, FALSE))</f>
      </c>
      <c r="AD204" s="0">
        <f>IF(M204="", "", VLOOKUP(M204, NgachLuongData, 2, FALSE))</f>
      </c>
      <c r="AE204" s="0">
        <f>IF(N204="", "", VLOOKUP(N204, BacLuongData, 2, FALSE))</f>
      </c>
      <c r="AF204" s="0">
        <f>IF(P204="", "", VLOOKUP(P204, DanhSachCodeId, 3, FALSE))</f>
      </c>
    </row>
    <row r="205">
      <c r="A205" s="0">
        <f>IF(B205="", "", VLOOKUP(B205, DanhSachCodeId, 3, FALSE))</f>
      </c>
      <c r="C205" s="0">
        <f>IF(B205="", "", VLOOKUP(B205, DanhSachNhanVien, 2, FALSE))</f>
      </c>
      <c r="Q205" s="0">
        <f>IF(P205="", "", VLOOKUP(P205, DanhSachNhanVien, 2, FALSE))</f>
      </c>
      <c r="Z205" s="0">
        <f>IF(D205="", "", VLOOKUP(D205, DanhSachLoaiQuyetDinhRange, 2, FALSE))</f>
      </c>
      <c r="AA205" s="0">
        <f>IF(I205="", "", VLOOKUP(I205, DanhSachPhongBanRange, 2, FALSE))</f>
      </c>
      <c r="AB205" s="0">
        <f>IF(J205="", "", VLOOKUP(J205, DanhSachChucDanhRange, 2, FALSE))</f>
      </c>
      <c r="AC205" s="0">
        <f>IF(L205="", "", VLOOKUP(L205, ThangLuongData, 2, FALSE))</f>
      </c>
      <c r="AD205" s="0">
        <f>IF(M205="", "", VLOOKUP(M205, NgachLuongData, 2, FALSE))</f>
      </c>
      <c r="AE205" s="0">
        <f>IF(N205="", "", VLOOKUP(N205, BacLuongData, 2, FALSE))</f>
      </c>
      <c r="AF205" s="0">
        <f>IF(P205="", "", VLOOKUP(P205, DanhSachCodeId, 3, FALSE))</f>
      </c>
    </row>
    <row r="206">
      <c r="A206" s="0">
        <f>IF(B206="", "", VLOOKUP(B206, DanhSachCodeId, 3, FALSE))</f>
      </c>
      <c r="C206" s="0">
        <f>IF(B206="", "", VLOOKUP(B206, DanhSachNhanVien, 2, FALSE))</f>
      </c>
      <c r="Q206" s="0">
        <f>IF(P206="", "", VLOOKUP(P206, DanhSachNhanVien, 2, FALSE))</f>
      </c>
      <c r="Z206" s="0">
        <f>IF(D206="", "", VLOOKUP(D206, DanhSachLoaiQuyetDinhRange, 2, FALSE))</f>
      </c>
      <c r="AA206" s="0">
        <f>IF(I206="", "", VLOOKUP(I206, DanhSachPhongBanRange, 2, FALSE))</f>
      </c>
      <c r="AB206" s="0">
        <f>IF(J206="", "", VLOOKUP(J206, DanhSachChucDanhRange, 2, FALSE))</f>
      </c>
      <c r="AC206" s="0">
        <f>IF(L206="", "", VLOOKUP(L206, ThangLuongData, 2, FALSE))</f>
      </c>
      <c r="AD206" s="0">
        <f>IF(M206="", "", VLOOKUP(M206, NgachLuongData, 2, FALSE))</f>
      </c>
      <c r="AE206" s="0">
        <f>IF(N206="", "", VLOOKUP(N206, BacLuongData, 2, FALSE))</f>
      </c>
      <c r="AF206" s="0">
        <f>IF(P206="", "", VLOOKUP(P206, DanhSachCodeId, 3, FALSE))</f>
      </c>
    </row>
    <row r="207">
      <c r="A207" s="0">
        <f>IF(B207="", "", VLOOKUP(B207, DanhSachCodeId, 3, FALSE))</f>
      </c>
      <c r="C207" s="0">
        <f>IF(B207="", "", VLOOKUP(B207, DanhSachNhanVien, 2, FALSE))</f>
      </c>
      <c r="Q207" s="0">
        <f>IF(P207="", "", VLOOKUP(P207, DanhSachNhanVien, 2, FALSE))</f>
      </c>
      <c r="Z207" s="0">
        <f>IF(D207="", "", VLOOKUP(D207, DanhSachLoaiQuyetDinhRange, 2, FALSE))</f>
      </c>
      <c r="AA207" s="0">
        <f>IF(I207="", "", VLOOKUP(I207, DanhSachPhongBanRange, 2, FALSE))</f>
      </c>
      <c r="AB207" s="0">
        <f>IF(J207="", "", VLOOKUP(J207, DanhSachChucDanhRange, 2, FALSE))</f>
      </c>
      <c r="AC207" s="0">
        <f>IF(L207="", "", VLOOKUP(L207, ThangLuongData, 2, FALSE))</f>
      </c>
      <c r="AD207" s="0">
        <f>IF(M207="", "", VLOOKUP(M207, NgachLuongData, 2, FALSE))</f>
      </c>
      <c r="AE207" s="0">
        <f>IF(N207="", "", VLOOKUP(N207, BacLuongData, 2, FALSE))</f>
      </c>
      <c r="AF207" s="0">
        <f>IF(P207="", "", VLOOKUP(P207, DanhSachCodeId, 3, FALSE))</f>
      </c>
    </row>
    <row r="208">
      <c r="A208" s="0">
        <f>IF(B208="", "", VLOOKUP(B208, DanhSachCodeId, 3, FALSE))</f>
      </c>
      <c r="C208" s="0">
        <f>IF(B208="", "", VLOOKUP(B208, DanhSachNhanVien, 2, FALSE))</f>
      </c>
      <c r="Q208" s="0">
        <f>IF(P208="", "", VLOOKUP(P208, DanhSachNhanVien, 2, FALSE))</f>
      </c>
      <c r="Z208" s="0">
        <f>IF(D208="", "", VLOOKUP(D208, DanhSachLoaiQuyetDinhRange, 2, FALSE))</f>
      </c>
      <c r="AA208" s="0">
        <f>IF(I208="", "", VLOOKUP(I208, DanhSachPhongBanRange, 2, FALSE))</f>
      </c>
      <c r="AB208" s="0">
        <f>IF(J208="", "", VLOOKUP(J208, DanhSachChucDanhRange, 2, FALSE))</f>
      </c>
      <c r="AC208" s="0">
        <f>IF(L208="", "", VLOOKUP(L208, ThangLuongData, 2, FALSE))</f>
      </c>
      <c r="AD208" s="0">
        <f>IF(M208="", "", VLOOKUP(M208, NgachLuongData, 2, FALSE))</f>
      </c>
      <c r="AE208" s="0">
        <f>IF(N208="", "", VLOOKUP(N208, BacLuongData, 2, FALSE))</f>
      </c>
      <c r="AF208" s="0">
        <f>IF(P208="", "", VLOOKUP(P208, DanhSachCodeId, 3, FALSE))</f>
      </c>
    </row>
    <row r="209">
      <c r="A209" s="0">
        <f>IF(B209="", "", VLOOKUP(B209, DanhSachCodeId, 3, FALSE))</f>
      </c>
      <c r="C209" s="0">
        <f>IF(B209="", "", VLOOKUP(B209, DanhSachNhanVien, 2, FALSE))</f>
      </c>
      <c r="Q209" s="0">
        <f>IF(P209="", "", VLOOKUP(P209, DanhSachNhanVien, 2, FALSE))</f>
      </c>
      <c r="Z209" s="0">
        <f>IF(D209="", "", VLOOKUP(D209, DanhSachLoaiQuyetDinhRange, 2, FALSE))</f>
      </c>
      <c r="AA209" s="0">
        <f>IF(I209="", "", VLOOKUP(I209, DanhSachPhongBanRange, 2, FALSE))</f>
      </c>
      <c r="AB209" s="0">
        <f>IF(J209="", "", VLOOKUP(J209, DanhSachChucDanhRange, 2, FALSE))</f>
      </c>
      <c r="AC209" s="0">
        <f>IF(L209="", "", VLOOKUP(L209, ThangLuongData, 2, FALSE))</f>
      </c>
      <c r="AD209" s="0">
        <f>IF(M209="", "", VLOOKUP(M209, NgachLuongData, 2, FALSE))</f>
      </c>
      <c r="AE209" s="0">
        <f>IF(N209="", "", VLOOKUP(N209, BacLuongData, 2, FALSE))</f>
      </c>
      <c r="AF209" s="0">
        <f>IF(P209="", "", VLOOKUP(P209, DanhSachCodeId, 3, FALSE))</f>
      </c>
    </row>
    <row r="210">
      <c r="A210" s="0">
        <f>IF(B210="", "", VLOOKUP(B210, DanhSachCodeId, 3, FALSE))</f>
      </c>
      <c r="C210" s="0">
        <f>IF(B210="", "", VLOOKUP(B210, DanhSachNhanVien, 2, FALSE))</f>
      </c>
      <c r="Q210" s="0">
        <f>IF(P210="", "", VLOOKUP(P210, DanhSachNhanVien, 2, FALSE))</f>
      </c>
      <c r="Z210" s="0">
        <f>IF(D210="", "", VLOOKUP(D210, DanhSachLoaiQuyetDinhRange, 2, FALSE))</f>
      </c>
      <c r="AA210" s="0">
        <f>IF(I210="", "", VLOOKUP(I210, DanhSachPhongBanRange, 2, FALSE))</f>
      </c>
      <c r="AB210" s="0">
        <f>IF(J210="", "", VLOOKUP(J210, DanhSachChucDanhRange, 2, FALSE))</f>
      </c>
      <c r="AC210" s="0">
        <f>IF(L210="", "", VLOOKUP(L210, ThangLuongData, 2, FALSE))</f>
      </c>
      <c r="AD210" s="0">
        <f>IF(M210="", "", VLOOKUP(M210, NgachLuongData, 2, FALSE))</f>
      </c>
      <c r="AE210" s="0">
        <f>IF(N210="", "", VLOOKUP(N210, BacLuongData, 2, FALSE))</f>
      </c>
      <c r="AF210" s="0">
        <f>IF(P210="", "", VLOOKUP(P210, DanhSachCodeId, 3, FALSE))</f>
      </c>
    </row>
    <row r="211">
      <c r="A211" s="0">
        <f>IF(B211="", "", VLOOKUP(B211, DanhSachCodeId, 3, FALSE))</f>
      </c>
      <c r="C211" s="0">
        <f>IF(B211="", "", VLOOKUP(B211, DanhSachNhanVien, 2, FALSE))</f>
      </c>
      <c r="Q211" s="0">
        <f>IF(P211="", "", VLOOKUP(P211, DanhSachNhanVien, 2, FALSE))</f>
      </c>
      <c r="Z211" s="0">
        <f>IF(D211="", "", VLOOKUP(D211, DanhSachLoaiQuyetDinhRange, 2, FALSE))</f>
      </c>
      <c r="AA211" s="0">
        <f>IF(I211="", "", VLOOKUP(I211, DanhSachPhongBanRange, 2, FALSE))</f>
      </c>
      <c r="AB211" s="0">
        <f>IF(J211="", "", VLOOKUP(J211, DanhSachChucDanhRange, 2, FALSE))</f>
      </c>
      <c r="AC211" s="0">
        <f>IF(L211="", "", VLOOKUP(L211, ThangLuongData, 2, FALSE))</f>
      </c>
      <c r="AD211" s="0">
        <f>IF(M211="", "", VLOOKUP(M211, NgachLuongData, 2, FALSE))</f>
      </c>
      <c r="AE211" s="0">
        <f>IF(N211="", "", VLOOKUP(N211, BacLuongData, 2, FALSE))</f>
      </c>
      <c r="AF211" s="0">
        <f>IF(P211="", "", VLOOKUP(P211, DanhSachCodeId, 3, FALSE))</f>
      </c>
    </row>
    <row r="212">
      <c r="A212" s="0">
        <f>IF(B212="", "", VLOOKUP(B212, DanhSachCodeId, 3, FALSE))</f>
      </c>
      <c r="C212" s="0">
        <f>IF(B212="", "", VLOOKUP(B212, DanhSachNhanVien, 2, FALSE))</f>
      </c>
      <c r="Q212" s="0">
        <f>IF(P212="", "", VLOOKUP(P212, DanhSachNhanVien, 2, FALSE))</f>
      </c>
      <c r="Z212" s="0">
        <f>IF(D212="", "", VLOOKUP(D212, DanhSachLoaiQuyetDinhRange, 2, FALSE))</f>
      </c>
      <c r="AA212" s="0">
        <f>IF(I212="", "", VLOOKUP(I212, DanhSachPhongBanRange, 2, FALSE))</f>
      </c>
      <c r="AB212" s="0">
        <f>IF(J212="", "", VLOOKUP(J212, DanhSachChucDanhRange, 2, FALSE))</f>
      </c>
      <c r="AC212" s="0">
        <f>IF(L212="", "", VLOOKUP(L212, ThangLuongData, 2, FALSE))</f>
      </c>
      <c r="AD212" s="0">
        <f>IF(M212="", "", VLOOKUP(M212, NgachLuongData, 2, FALSE))</f>
      </c>
      <c r="AE212" s="0">
        <f>IF(N212="", "", VLOOKUP(N212, BacLuongData, 2, FALSE))</f>
      </c>
      <c r="AF212" s="0">
        <f>IF(P212="", "", VLOOKUP(P212, DanhSachCodeId, 3, FALSE))</f>
      </c>
    </row>
    <row r="213">
      <c r="A213" s="0">
        <f>IF(B213="", "", VLOOKUP(B213, DanhSachCodeId, 3, FALSE))</f>
      </c>
      <c r="C213" s="0">
        <f>IF(B213="", "", VLOOKUP(B213, DanhSachNhanVien, 2, FALSE))</f>
      </c>
      <c r="Q213" s="0">
        <f>IF(P213="", "", VLOOKUP(P213, DanhSachNhanVien, 2, FALSE))</f>
      </c>
      <c r="Z213" s="0">
        <f>IF(D213="", "", VLOOKUP(D213, DanhSachLoaiQuyetDinhRange, 2, FALSE))</f>
      </c>
      <c r="AA213" s="0">
        <f>IF(I213="", "", VLOOKUP(I213, DanhSachPhongBanRange, 2, FALSE))</f>
      </c>
      <c r="AB213" s="0">
        <f>IF(J213="", "", VLOOKUP(J213, DanhSachChucDanhRange, 2, FALSE))</f>
      </c>
      <c r="AC213" s="0">
        <f>IF(L213="", "", VLOOKUP(L213, ThangLuongData, 2, FALSE))</f>
      </c>
      <c r="AD213" s="0">
        <f>IF(M213="", "", VLOOKUP(M213, NgachLuongData, 2, FALSE))</f>
      </c>
      <c r="AE213" s="0">
        <f>IF(N213="", "", VLOOKUP(N213, BacLuongData, 2, FALSE))</f>
      </c>
      <c r="AF213" s="0">
        <f>IF(P213="", "", VLOOKUP(P213, DanhSachCodeId, 3, FALSE))</f>
      </c>
    </row>
    <row r="214">
      <c r="A214" s="0">
        <f>IF(B214="", "", VLOOKUP(B214, DanhSachCodeId, 3, FALSE))</f>
      </c>
      <c r="C214" s="0">
        <f>IF(B214="", "", VLOOKUP(B214, DanhSachNhanVien, 2, FALSE))</f>
      </c>
      <c r="Q214" s="0">
        <f>IF(P214="", "", VLOOKUP(P214, DanhSachNhanVien, 2, FALSE))</f>
      </c>
      <c r="Z214" s="0">
        <f>IF(D214="", "", VLOOKUP(D214, DanhSachLoaiQuyetDinhRange, 2, FALSE))</f>
      </c>
      <c r="AA214" s="0">
        <f>IF(I214="", "", VLOOKUP(I214, DanhSachPhongBanRange, 2, FALSE))</f>
      </c>
      <c r="AB214" s="0">
        <f>IF(J214="", "", VLOOKUP(J214, DanhSachChucDanhRange, 2, FALSE))</f>
      </c>
      <c r="AC214" s="0">
        <f>IF(L214="", "", VLOOKUP(L214, ThangLuongData, 2, FALSE))</f>
      </c>
      <c r="AD214" s="0">
        <f>IF(M214="", "", VLOOKUP(M214, NgachLuongData, 2, FALSE))</f>
      </c>
      <c r="AE214" s="0">
        <f>IF(N214="", "", VLOOKUP(N214, BacLuongData, 2, FALSE))</f>
      </c>
      <c r="AF214" s="0">
        <f>IF(P214="", "", VLOOKUP(P214, DanhSachCodeId, 3, FALSE))</f>
      </c>
    </row>
    <row r="215">
      <c r="A215" s="0">
        <f>IF(B215="", "", VLOOKUP(B215, DanhSachCodeId, 3, FALSE))</f>
      </c>
      <c r="C215" s="0">
        <f>IF(B215="", "", VLOOKUP(B215, DanhSachNhanVien, 2, FALSE))</f>
      </c>
      <c r="Q215" s="0">
        <f>IF(P215="", "", VLOOKUP(P215, DanhSachNhanVien, 2, FALSE))</f>
      </c>
      <c r="Z215" s="0">
        <f>IF(D215="", "", VLOOKUP(D215, DanhSachLoaiQuyetDinhRange, 2, FALSE))</f>
      </c>
      <c r="AA215" s="0">
        <f>IF(I215="", "", VLOOKUP(I215, DanhSachPhongBanRange, 2, FALSE))</f>
      </c>
      <c r="AB215" s="0">
        <f>IF(J215="", "", VLOOKUP(J215, DanhSachChucDanhRange, 2, FALSE))</f>
      </c>
      <c r="AC215" s="0">
        <f>IF(L215="", "", VLOOKUP(L215, ThangLuongData, 2, FALSE))</f>
      </c>
      <c r="AD215" s="0">
        <f>IF(M215="", "", VLOOKUP(M215, NgachLuongData, 2, FALSE))</f>
      </c>
      <c r="AE215" s="0">
        <f>IF(N215="", "", VLOOKUP(N215, BacLuongData, 2, FALSE))</f>
      </c>
      <c r="AF215" s="0">
        <f>IF(P215="", "", VLOOKUP(P215, DanhSachCodeId, 3, FALSE))</f>
      </c>
    </row>
    <row r="216">
      <c r="A216" s="0">
        <f>IF(B216="", "", VLOOKUP(B216, DanhSachCodeId, 3, FALSE))</f>
      </c>
      <c r="C216" s="0">
        <f>IF(B216="", "", VLOOKUP(B216, DanhSachNhanVien, 2, FALSE))</f>
      </c>
      <c r="Q216" s="0">
        <f>IF(P216="", "", VLOOKUP(P216, DanhSachNhanVien, 2, FALSE))</f>
      </c>
      <c r="Z216" s="0">
        <f>IF(D216="", "", VLOOKUP(D216, DanhSachLoaiQuyetDinhRange, 2, FALSE))</f>
      </c>
      <c r="AA216" s="0">
        <f>IF(I216="", "", VLOOKUP(I216, DanhSachPhongBanRange, 2, FALSE))</f>
      </c>
      <c r="AB216" s="0">
        <f>IF(J216="", "", VLOOKUP(J216, DanhSachChucDanhRange, 2, FALSE))</f>
      </c>
      <c r="AC216" s="0">
        <f>IF(L216="", "", VLOOKUP(L216, ThangLuongData, 2, FALSE))</f>
      </c>
      <c r="AD216" s="0">
        <f>IF(M216="", "", VLOOKUP(M216, NgachLuongData, 2, FALSE))</f>
      </c>
      <c r="AE216" s="0">
        <f>IF(N216="", "", VLOOKUP(N216, BacLuongData, 2, FALSE))</f>
      </c>
      <c r="AF216" s="0">
        <f>IF(P216="", "", VLOOKUP(P216, DanhSachCodeId, 3, FALSE))</f>
      </c>
    </row>
    <row r="217">
      <c r="A217" s="0">
        <f>IF(B217="", "", VLOOKUP(B217, DanhSachCodeId, 3, FALSE))</f>
      </c>
      <c r="C217" s="0">
        <f>IF(B217="", "", VLOOKUP(B217, DanhSachNhanVien, 2, FALSE))</f>
      </c>
      <c r="Q217" s="0">
        <f>IF(P217="", "", VLOOKUP(P217, DanhSachNhanVien, 2, FALSE))</f>
      </c>
      <c r="Z217" s="0">
        <f>IF(D217="", "", VLOOKUP(D217, DanhSachLoaiQuyetDinhRange, 2, FALSE))</f>
      </c>
      <c r="AA217" s="0">
        <f>IF(I217="", "", VLOOKUP(I217, DanhSachPhongBanRange, 2, FALSE))</f>
      </c>
      <c r="AB217" s="0">
        <f>IF(J217="", "", VLOOKUP(J217, DanhSachChucDanhRange, 2, FALSE))</f>
      </c>
      <c r="AC217" s="0">
        <f>IF(L217="", "", VLOOKUP(L217, ThangLuongData, 2, FALSE))</f>
      </c>
      <c r="AD217" s="0">
        <f>IF(M217="", "", VLOOKUP(M217, NgachLuongData, 2, FALSE))</f>
      </c>
      <c r="AE217" s="0">
        <f>IF(N217="", "", VLOOKUP(N217, BacLuongData, 2, FALSE))</f>
      </c>
      <c r="AF217" s="0">
        <f>IF(P217="", "", VLOOKUP(P217, DanhSachCodeId, 3, FALSE))</f>
      </c>
    </row>
    <row r="218">
      <c r="A218" s="0">
        <f>IF(B218="", "", VLOOKUP(B218, DanhSachCodeId, 3, FALSE))</f>
      </c>
      <c r="C218" s="0">
        <f>IF(B218="", "", VLOOKUP(B218, DanhSachNhanVien, 2, FALSE))</f>
      </c>
      <c r="Q218" s="0">
        <f>IF(P218="", "", VLOOKUP(P218, DanhSachNhanVien, 2, FALSE))</f>
      </c>
      <c r="Z218" s="0">
        <f>IF(D218="", "", VLOOKUP(D218, DanhSachLoaiQuyetDinhRange, 2, FALSE))</f>
      </c>
      <c r="AA218" s="0">
        <f>IF(I218="", "", VLOOKUP(I218, DanhSachPhongBanRange, 2, FALSE))</f>
      </c>
      <c r="AB218" s="0">
        <f>IF(J218="", "", VLOOKUP(J218, DanhSachChucDanhRange, 2, FALSE))</f>
      </c>
      <c r="AC218" s="0">
        <f>IF(L218="", "", VLOOKUP(L218, ThangLuongData, 2, FALSE))</f>
      </c>
      <c r="AD218" s="0">
        <f>IF(M218="", "", VLOOKUP(M218, NgachLuongData, 2, FALSE))</f>
      </c>
      <c r="AE218" s="0">
        <f>IF(N218="", "", VLOOKUP(N218, BacLuongData, 2, FALSE))</f>
      </c>
      <c r="AF218" s="0">
        <f>IF(P218="", "", VLOOKUP(P218, DanhSachCodeId, 3, FALSE))</f>
      </c>
    </row>
    <row r="219">
      <c r="A219" s="0">
        <f>IF(B219="", "", VLOOKUP(B219, DanhSachCodeId, 3, FALSE))</f>
      </c>
      <c r="C219" s="0">
        <f>IF(B219="", "", VLOOKUP(B219, DanhSachNhanVien, 2, FALSE))</f>
      </c>
      <c r="Q219" s="0">
        <f>IF(P219="", "", VLOOKUP(P219, DanhSachNhanVien, 2, FALSE))</f>
      </c>
      <c r="Z219" s="0">
        <f>IF(D219="", "", VLOOKUP(D219, DanhSachLoaiQuyetDinhRange, 2, FALSE))</f>
      </c>
      <c r="AA219" s="0">
        <f>IF(I219="", "", VLOOKUP(I219, DanhSachPhongBanRange, 2, FALSE))</f>
      </c>
      <c r="AB219" s="0">
        <f>IF(J219="", "", VLOOKUP(J219, DanhSachChucDanhRange, 2, FALSE))</f>
      </c>
      <c r="AC219" s="0">
        <f>IF(L219="", "", VLOOKUP(L219, ThangLuongData, 2, FALSE))</f>
      </c>
      <c r="AD219" s="0">
        <f>IF(M219="", "", VLOOKUP(M219, NgachLuongData, 2, FALSE))</f>
      </c>
      <c r="AE219" s="0">
        <f>IF(N219="", "", VLOOKUP(N219, BacLuongData, 2, FALSE))</f>
      </c>
      <c r="AF219" s="0">
        <f>IF(P219="", "", VLOOKUP(P219, DanhSachCodeId, 3, FALSE))</f>
      </c>
    </row>
    <row r="220">
      <c r="A220" s="0">
        <f>IF(B220="", "", VLOOKUP(B220, DanhSachCodeId, 3, FALSE))</f>
      </c>
      <c r="C220" s="0">
        <f>IF(B220="", "", VLOOKUP(B220, DanhSachNhanVien, 2, FALSE))</f>
      </c>
      <c r="Q220" s="0">
        <f>IF(P220="", "", VLOOKUP(P220, DanhSachNhanVien, 2, FALSE))</f>
      </c>
      <c r="Z220" s="0">
        <f>IF(D220="", "", VLOOKUP(D220, DanhSachLoaiQuyetDinhRange, 2, FALSE))</f>
      </c>
      <c r="AA220" s="0">
        <f>IF(I220="", "", VLOOKUP(I220, DanhSachPhongBanRange, 2, FALSE))</f>
      </c>
      <c r="AB220" s="0">
        <f>IF(J220="", "", VLOOKUP(J220, DanhSachChucDanhRange, 2, FALSE))</f>
      </c>
      <c r="AC220" s="0">
        <f>IF(L220="", "", VLOOKUP(L220, ThangLuongData, 2, FALSE))</f>
      </c>
      <c r="AD220" s="0">
        <f>IF(M220="", "", VLOOKUP(M220, NgachLuongData, 2, FALSE))</f>
      </c>
      <c r="AE220" s="0">
        <f>IF(N220="", "", VLOOKUP(N220, BacLuongData, 2, FALSE))</f>
      </c>
      <c r="AF220" s="0">
        <f>IF(P220="", "", VLOOKUP(P220, DanhSachCodeId, 3, FALSE))</f>
      </c>
    </row>
    <row r="221">
      <c r="A221" s="0">
        <f>IF(B221="", "", VLOOKUP(B221, DanhSachCodeId, 3, FALSE))</f>
      </c>
      <c r="C221" s="0">
        <f>IF(B221="", "", VLOOKUP(B221, DanhSachNhanVien, 2, FALSE))</f>
      </c>
      <c r="Q221" s="0">
        <f>IF(P221="", "", VLOOKUP(P221, DanhSachNhanVien, 2, FALSE))</f>
      </c>
      <c r="Z221" s="0">
        <f>IF(D221="", "", VLOOKUP(D221, DanhSachLoaiQuyetDinhRange, 2, FALSE))</f>
      </c>
      <c r="AA221" s="0">
        <f>IF(I221="", "", VLOOKUP(I221, DanhSachPhongBanRange, 2, FALSE))</f>
      </c>
      <c r="AB221" s="0">
        <f>IF(J221="", "", VLOOKUP(J221, DanhSachChucDanhRange, 2, FALSE))</f>
      </c>
      <c r="AC221" s="0">
        <f>IF(L221="", "", VLOOKUP(L221, ThangLuongData, 2, FALSE))</f>
      </c>
      <c r="AD221" s="0">
        <f>IF(M221="", "", VLOOKUP(M221, NgachLuongData, 2, FALSE))</f>
      </c>
      <c r="AE221" s="0">
        <f>IF(N221="", "", VLOOKUP(N221, BacLuongData, 2, FALSE))</f>
      </c>
      <c r="AF221" s="0">
        <f>IF(P221="", "", VLOOKUP(P221, DanhSachCodeId, 3, FALSE))</f>
      </c>
    </row>
    <row r="222">
      <c r="A222" s="0">
        <f>IF(B222="", "", VLOOKUP(B222, DanhSachCodeId, 3, FALSE))</f>
      </c>
      <c r="C222" s="0">
        <f>IF(B222="", "", VLOOKUP(B222, DanhSachNhanVien, 2, FALSE))</f>
      </c>
      <c r="Q222" s="0">
        <f>IF(P222="", "", VLOOKUP(P222, DanhSachNhanVien, 2, FALSE))</f>
      </c>
      <c r="Z222" s="0">
        <f>IF(D222="", "", VLOOKUP(D222, DanhSachLoaiQuyetDinhRange, 2, FALSE))</f>
      </c>
      <c r="AA222" s="0">
        <f>IF(I222="", "", VLOOKUP(I222, DanhSachPhongBanRange, 2, FALSE))</f>
      </c>
      <c r="AB222" s="0">
        <f>IF(J222="", "", VLOOKUP(J222, DanhSachChucDanhRange, 2, FALSE))</f>
      </c>
      <c r="AC222" s="0">
        <f>IF(L222="", "", VLOOKUP(L222, ThangLuongData, 2, FALSE))</f>
      </c>
      <c r="AD222" s="0">
        <f>IF(M222="", "", VLOOKUP(M222, NgachLuongData, 2, FALSE))</f>
      </c>
      <c r="AE222" s="0">
        <f>IF(N222="", "", VLOOKUP(N222, BacLuongData, 2, FALSE))</f>
      </c>
      <c r="AF222" s="0">
        <f>IF(P222="", "", VLOOKUP(P222, DanhSachCodeId, 3, FALSE))</f>
      </c>
    </row>
    <row r="223">
      <c r="A223" s="0">
        <f>IF(B223="", "", VLOOKUP(B223, DanhSachCodeId, 3, FALSE))</f>
      </c>
      <c r="C223" s="0">
        <f>IF(B223="", "", VLOOKUP(B223, DanhSachNhanVien, 2, FALSE))</f>
      </c>
      <c r="Q223" s="0">
        <f>IF(P223="", "", VLOOKUP(P223, DanhSachNhanVien, 2, FALSE))</f>
      </c>
      <c r="Z223" s="0">
        <f>IF(D223="", "", VLOOKUP(D223, DanhSachLoaiQuyetDinhRange, 2, FALSE))</f>
      </c>
      <c r="AA223" s="0">
        <f>IF(I223="", "", VLOOKUP(I223, DanhSachPhongBanRange, 2, FALSE))</f>
      </c>
      <c r="AB223" s="0">
        <f>IF(J223="", "", VLOOKUP(J223, DanhSachChucDanhRange, 2, FALSE))</f>
      </c>
      <c r="AC223" s="0">
        <f>IF(L223="", "", VLOOKUP(L223, ThangLuongData, 2, FALSE))</f>
      </c>
      <c r="AD223" s="0">
        <f>IF(M223="", "", VLOOKUP(M223, NgachLuongData, 2, FALSE))</f>
      </c>
      <c r="AE223" s="0">
        <f>IF(N223="", "", VLOOKUP(N223, BacLuongData, 2, FALSE))</f>
      </c>
      <c r="AF223" s="0">
        <f>IF(P223="", "", VLOOKUP(P223, DanhSachCodeId, 3, FALSE))</f>
      </c>
    </row>
    <row r="224">
      <c r="A224" s="0">
        <f>IF(B224="", "", VLOOKUP(B224, DanhSachCodeId, 3, FALSE))</f>
      </c>
      <c r="C224" s="0">
        <f>IF(B224="", "", VLOOKUP(B224, DanhSachNhanVien, 2, FALSE))</f>
      </c>
      <c r="Q224" s="0">
        <f>IF(P224="", "", VLOOKUP(P224, DanhSachNhanVien, 2, FALSE))</f>
      </c>
      <c r="Z224" s="0">
        <f>IF(D224="", "", VLOOKUP(D224, DanhSachLoaiQuyetDinhRange, 2, FALSE))</f>
      </c>
      <c r="AA224" s="0">
        <f>IF(I224="", "", VLOOKUP(I224, DanhSachPhongBanRange, 2, FALSE))</f>
      </c>
      <c r="AB224" s="0">
        <f>IF(J224="", "", VLOOKUP(J224, DanhSachChucDanhRange, 2, FALSE))</f>
      </c>
      <c r="AC224" s="0">
        <f>IF(L224="", "", VLOOKUP(L224, ThangLuongData, 2, FALSE))</f>
      </c>
      <c r="AD224" s="0">
        <f>IF(M224="", "", VLOOKUP(M224, NgachLuongData, 2, FALSE))</f>
      </c>
      <c r="AE224" s="0">
        <f>IF(N224="", "", VLOOKUP(N224, BacLuongData, 2, FALSE))</f>
      </c>
      <c r="AF224" s="0">
        <f>IF(P224="", "", VLOOKUP(P224, DanhSachCodeId, 3, FALSE))</f>
      </c>
    </row>
    <row r="225">
      <c r="A225" s="0">
        <f>IF(B225="", "", VLOOKUP(B225, DanhSachCodeId, 3, FALSE))</f>
      </c>
      <c r="C225" s="0">
        <f>IF(B225="", "", VLOOKUP(B225, DanhSachNhanVien, 2, FALSE))</f>
      </c>
      <c r="Q225" s="0">
        <f>IF(P225="", "", VLOOKUP(P225, DanhSachNhanVien, 2, FALSE))</f>
      </c>
      <c r="Z225" s="0">
        <f>IF(D225="", "", VLOOKUP(D225, DanhSachLoaiQuyetDinhRange, 2, FALSE))</f>
      </c>
      <c r="AA225" s="0">
        <f>IF(I225="", "", VLOOKUP(I225, DanhSachPhongBanRange, 2, FALSE))</f>
      </c>
      <c r="AB225" s="0">
        <f>IF(J225="", "", VLOOKUP(J225, DanhSachChucDanhRange, 2, FALSE))</f>
      </c>
      <c r="AC225" s="0">
        <f>IF(L225="", "", VLOOKUP(L225, ThangLuongData, 2, FALSE))</f>
      </c>
      <c r="AD225" s="0">
        <f>IF(M225="", "", VLOOKUP(M225, NgachLuongData, 2, FALSE))</f>
      </c>
      <c r="AE225" s="0">
        <f>IF(N225="", "", VLOOKUP(N225, BacLuongData, 2, FALSE))</f>
      </c>
      <c r="AF225" s="0">
        <f>IF(P225="", "", VLOOKUP(P225, DanhSachCodeId, 3, FALSE))</f>
      </c>
    </row>
    <row r="226">
      <c r="A226" s="0">
        <f>IF(B226="", "", VLOOKUP(B226, DanhSachCodeId, 3, FALSE))</f>
      </c>
      <c r="C226" s="0">
        <f>IF(B226="", "", VLOOKUP(B226, DanhSachNhanVien, 2, FALSE))</f>
      </c>
      <c r="Q226" s="0">
        <f>IF(P226="", "", VLOOKUP(P226, DanhSachNhanVien, 2, FALSE))</f>
      </c>
      <c r="Z226" s="0">
        <f>IF(D226="", "", VLOOKUP(D226, DanhSachLoaiQuyetDinhRange, 2, FALSE))</f>
      </c>
      <c r="AA226" s="0">
        <f>IF(I226="", "", VLOOKUP(I226, DanhSachPhongBanRange, 2, FALSE))</f>
      </c>
      <c r="AB226" s="0">
        <f>IF(J226="", "", VLOOKUP(J226, DanhSachChucDanhRange, 2, FALSE))</f>
      </c>
      <c r="AC226" s="0">
        <f>IF(L226="", "", VLOOKUP(L226, ThangLuongData, 2, FALSE))</f>
      </c>
      <c r="AD226" s="0">
        <f>IF(M226="", "", VLOOKUP(M226, NgachLuongData, 2, FALSE))</f>
      </c>
      <c r="AE226" s="0">
        <f>IF(N226="", "", VLOOKUP(N226, BacLuongData, 2, FALSE))</f>
      </c>
      <c r="AF226" s="0">
        <f>IF(P226="", "", VLOOKUP(P226, DanhSachCodeId, 3, FALSE))</f>
      </c>
    </row>
    <row r="227">
      <c r="A227" s="0">
        <f>IF(B227="", "", VLOOKUP(B227, DanhSachCodeId, 3, FALSE))</f>
      </c>
      <c r="C227" s="0">
        <f>IF(B227="", "", VLOOKUP(B227, DanhSachNhanVien, 2, FALSE))</f>
      </c>
      <c r="Q227" s="0">
        <f>IF(P227="", "", VLOOKUP(P227, DanhSachNhanVien, 2, FALSE))</f>
      </c>
      <c r="Z227" s="0">
        <f>IF(D227="", "", VLOOKUP(D227, DanhSachLoaiQuyetDinhRange, 2, FALSE))</f>
      </c>
      <c r="AA227" s="0">
        <f>IF(I227="", "", VLOOKUP(I227, DanhSachPhongBanRange, 2, FALSE))</f>
      </c>
      <c r="AB227" s="0">
        <f>IF(J227="", "", VLOOKUP(J227, DanhSachChucDanhRange, 2, FALSE))</f>
      </c>
      <c r="AC227" s="0">
        <f>IF(L227="", "", VLOOKUP(L227, ThangLuongData, 2, FALSE))</f>
      </c>
      <c r="AD227" s="0">
        <f>IF(M227="", "", VLOOKUP(M227, NgachLuongData, 2, FALSE))</f>
      </c>
      <c r="AE227" s="0">
        <f>IF(N227="", "", VLOOKUP(N227, BacLuongData, 2, FALSE))</f>
      </c>
      <c r="AF227" s="0">
        <f>IF(P227="", "", VLOOKUP(P227, DanhSachCodeId, 3, FALSE))</f>
      </c>
    </row>
    <row r="228">
      <c r="A228" s="0">
        <f>IF(B228="", "", VLOOKUP(B228, DanhSachCodeId, 3, FALSE))</f>
      </c>
      <c r="C228" s="0">
        <f>IF(B228="", "", VLOOKUP(B228, DanhSachNhanVien, 2, FALSE))</f>
      </c>
      <c r="Q228" s="0">
        <f>IF(P228="", "", VLOOKUP(P228, DanhSachNhanVien, 2, FALSE))</f>
      </c>
      <c r="Z228" s="0">
        <f>IF(D228="", "", VLOOKUP(D228, DanhSachLoaiQuyetDinhRange, 2, FALSE))</f>
      </c>
      <c r="AA228" s="0">
        <f>IF(I228="", "", VLOOKUP(I228, DanhSachPhongBanRange, 2, FALSE))</f>
      </c>
      <c r="AB228" s="0">
        <f>IF(J228="", "", VLOOKUP(J228, DanhSachChucDanhRange, 2, FALSE))</f>
      </c>
      <c r="AC228" s="0">
        <f>IF(L228="", "", VLOOKUP(L228, ThangLuongData, 2, FALSE))</f>
      </c>
      <c r="AD228" s="0">
        <f>IF(M228="", "", VLOOKUP(M228, NgachLuongData, 2, FALSE))</f>
      </c>
      <c r="AE228" s="0">
        <f>IF(N228="", "", VLOOKUP(N228, BacLuongData, 2, FALSE))</f>
      </c>
      <c r="AF228" s="0">
        <f>IF(P228="", "", VLOOKUP(P228, DanhSachCodeId, 3, FALSE))</f>
      </c>
    </row>
    <row r="229">
      <c r="A229" s="0">
        <f>IF(B229="", "", VLOOKUP(B229, DanhSachCodeId, 3, FALSE))</f>
      </c>
      <c r="C229" s="0">
        <f>IF(B229="", "", VLOOKUP(B229, DanhSachNhanVien, 2, FALSE))</f>
      </c>
      <c r="Q229" s="0">
        <f>IF(P229="", "", VLOOKUP(P229, DanhSachNhanVien, 2, FALSE))</f>
      </c>
      <c r="Z229" s="0">
        <f>IF(D229="", "", VLOOKUP(D229, DanhSachLoaiQuyetDinhRange, 2, FALSE))</f>
      </c>
      <c r="AA229" s="0">
        <f>IF(I229="", "", VLOOKUP(I229, DanhSachPhongBanRange, 2, FALSE))</f>
      </c>
      <c r="AB229" s="0">
        <f>IF(J229="", "", VLOOKUP(J229, DanhSachChucDanhRange, 2, FALSE))</f>
      </c>
      <c r="AC229" s="0">
        <f>IF(L229="", "", VLOOKUP(L229, ThangLuongData, 2, FALSE))</f>
      </c>
      <c r="AD229" s="0">
        <f>IF(M229="", "", VLOOKUP(M229, NgachLuongData, 2, FALSE))</f>
      </c>
      <c r="AE229" s="0">
        <f>IF(N229="", "", VLOOKUP(N229, BacLuongData, 2, FALSE))</f>
      </c>
      <c r="AF229" s="0">
        <f>IF(P229="", "", VLOOKUP(P229, DanhSachCodeId, 3, FALSE))</f>
      </c>
    </row>
    <row r="230">
      <c r="A230" s="0">
        <f>IF(B230="", "", VLOOKUP(B230, DanhSachCodeId, 3, FALSE))</f>
      </c>
      <c r="C230" s="0">
        <f>IF(B230="", "", VLOOKUP(B230, DanhSachNhanVien, 2, FALSE))</f>
      </c>
      <c r="Q230" s="0">
        <f>IF(P230="", "", VLOOKUP(P230, DanhSachNhanVien, 2, FALSE))</f>
      </c>
      <c r="Z230" s="0">
        <f>IF(D230="", "", VLOOKUP(D230, DanhSachLoaiQuyetDinhRange, 2, FALSE))</f>
      </c>
      <c r="AA230" s="0">
        <f>IF(I230="", "", VLOOKUP(I230, DanhSachPhongBanRange, 2, FALSE))</f>
      </c>
      <c r="AB230" s="0">
        <f>IF(J230="", "", VLOOKUP(J230, DanhSachChucDanhRange, 2, FALSE))</f>
      </c>
      <c r="AC230" s="0">
        <f>IF(L230="", "", VLOOKUP(L230, ThangLuongData, 2, FALSE))</f>
      </c>
      <c r="AD230" s="0">
        <f>IF(M230="", "", VLOOKUP(M230, NgachLuongData, 2, FALSE))</f>
      </c>
      <c r="AE230" s="0">
        <f>IF(N230="", "", VLOOKUP(N230, BacLuongData, 2, FALSE))</f>
      </c>
      <c r="AF230" s="0">
        <f>IF(P230="", "", VLOOKUP(P230, DanhSachCodeId, 3, FALSE))</f>
      </c>
    </row>
    <row r="231">
      <c r="A231" s="0">
        <f>IF(B231="", "", VLOOKUP(B231, DanhSachCodeId, 3, FALSE))</f>
      </c>
      <c r="C231" s="0">
        <f>IF(B231="", "", VLOOKUP(B231, DanhSachNhanVien, 2, FALSE))</f>
      </c>
      <c r="Q231" s="0">
        <f>IF(P231="", "", VLOOKUP(P231, DanhSachNhanVien, 2, FALSE))</f>
      </c>
      <c r="Z231" s="0">
        <f>IF(D231="", "", VLOOKUP(D231, DanhSachLoaiQuyetDinhRange, 2, FALSE))</f>
      </c>
      <c r="AA231" s="0">
        <f>IF(I231="", "", VLOOKUP(I231, DanhSachPhongBanRange, 2, FALSE))</f>
      </c>
      <c r="AB231" s="0">
        <f>IF(J231="", "", VLOOKUP(J231, DanhSachChucDanhRange, 2, FALSE))</f>
      </c>
      <c r="AC231" s="0">
        <f>IF(L231="", "", VLOOKUP(L231, ThangLuongData, 2, FALSE))</f>
      </c>
      <c r="AD231" s="0">
        <f>IF(M231="", "", VLOOKUP(M231, NgachLuongData, 2, FALSE))</f>
      </c>
      <c r="AE231" s="0">
        <f>IF(N231="", "", VLOOKUP(N231, BacLuongData, 2, FALSE))</f>
      </c>
      <c r="AF231" s="0">
        <f>IF(P231="", "", VLOOKUP(P231, DanhSachCodeId, 3, FALSE))</f>
      </c>
    </row>
    <row r="232">
      <c r="A232" s="0">
        <f>IF(B232="", "", VLOOKUP(B232, DanhSachCodeId, 3, FALSE))</f>
      </c>
      <c r="C232" s="0">
        <f>IF(B232="", "", VLOOKUP(B232, DanhSachNhanVien, 2, FALSE))</f>
      </c>
      <c r="Q232" s="0">
        <f>IF(P232="", "", VLOOKUP(P232, DanhSachNhanVien, 2, FALSE))</f>
      </c>
      <c r="Z232" s="0">
        <f>IF(D232="", "", VLOOKUP(D232, DanhSachLoaiQuyetDinhRange, 2, FALSE))</f>
      </c>
      <c r="AA232" s="0">
        <f>IF(I232="", "", VLOOKUP(I232, DanhSachPhongBanRange, 2, FALSE))</f>
      </c>
      <c r="AB232" s="0">
        <f>IF(J232="", "", VLOOKUP(J232, DanhSachChucDanhRange, 2, FALSE))</f>
      </c>
      <c r="AC232" s="0">
        <f>IF(L232="", "", VLOOKUP(L232, ThangLuongData, 2, FALSE))</f>
      </c>
      <c r="AD232" s="0">
        <f>IF(M232="", "", VLOOKUP(M232, NgachLuongData, 2, FALSE))</f>
      </c>
      <c r="AE232" s="0">
        <f>IF(N232="", "", VLOOKUP(N232, BacLuongData, 2, FALSE))</f>
      </c>
      <c r="AF232" s="0">
        <f>IF(P232="", "", VLOOKUP(P232, DanhSachCodeId, 3, FALSE))</f>
      </c>
    </row>
    <row r="233">
      <c r="A233" s="0">
        <f>IF(B233="", "", VLOOKUP(B233, DanhSachCodeId, 3, FALSE))</f>
      </c>
      <c r="C233" s="0">
        <f>IF(B233="", "", VLOOKUP(B233, DanhSachNhanVien, 2, FALSE))</f>
      </c>
      <c r="Q233" s="0">
        <f>IF(P233="", "", VLOOKUP(P233, DanhSachNhanVien, 2, FALSE))</f>
      </c>
      <c r="Z233" s="0">
        <f>IF(D233="", "", VLOOKUP(D233, DanhSachLoaiQuyetDinhRange, 2, FALSE))</f>
      </c>
      <c r="AA233" s="0">
        <f>IF(I233="", "", VLOOKUP(I233, DanhSachPhongBanRange, 2, FALSE))</f>
      </c>
      <c r="AB233" s="0">
        <f>IF(J233="", "", VLOOKUP(J233, DanhSachChucDanhRange, 2, FALSE))</f>
      </c>
      <c r="AC233" s="0">
        <f>IF(L233="", "", VLOOKUP(L233, ThangLuongData, 2, FALSE))</f>
      </c>
      <c r="AD233" s="0">
        <f>IF(M233="", "", VLOOKUP(M233, NgachLuongData, 2, FALSE))</f>
      </c>
      <c r="AE233" s="0">
        <f>IF(N233="", "", VLOOKUP(N233, BacLuongData, 2, FALSE))</f>
      </c>
      <c r="AF233" s="0">
        <f>IF(P233="", "", VLOOKUP(P233, DanhSachCodeId, 3, FALSE))</f>
      </c>
    </row>
    <row r="234">
      <c r="A234" s="0">
        <f>IF(B234="", "", VLOOKUP(B234, DanhSachCodeId, 3, FALSE))</f>
      </c>
      <c r="C234" s="0">
        <f>IF(B234="", "", VLOOKUP(B234, DanhSachNhanVien, 2, FALSE))</f>
      </c>
      <c r="Q234" s="0">
        <f>IF(P234="", "", VLOOKUP(P234, DanhSachNhanVien, 2, FALSE))</f>
      </c>
      <c r="Z234" s="0">
        <f>IF(D234="", "", VLOOKUP(D234, DanhSachLoaiQuyetDinhRange, 2, FALSE))</f>
      </c>
      <c r="AA234" s="0">
        <f>IF(I234="", "", VLOOKUP(I234, DanhSachPhongBanRange, 2, FALSE))</f>
      </c>
      <c r="AB234" s="0">
        <f>IF(J234="", "", VLOOKUP(J234, DanhSachChucDanhRange, 2, FALSE))</f>
      </c>
      <c r="AC234" s="0">
        <f>IF(L234="", "", VLOOKUP(L234, ThangLuongData, 2, FALSE))</f>
      </c>
      <c r="AD234" s="0">
        <f>IF(M234="", "", VLOOKUP(M234, NgachLuongData, 2, FALSE))</f>
      </c>
      <c r="AE234" s="0">
        <f>IF(N234="", "", VLOOKUP(N234, BacLuongData, 2, FALSE))</f>
      </c>
      <c r="AF234" s="0">
        <f>IF(P234="", "", VLOOKUP(P234, DanhSachCodeId, 3, FALSE))</f>
      </c>
    </row>
    <row r="235">
      <c r="A235" s="0">
        <f>IF(B235="", "", VLOOKUP(B235, DanhSachCodeId, 3, FALSE))</f>
      </c>
      <c r="C235" s="0">
        <f>IF(B235="", "", VLOOKUP(B235, DanhSachNhanVien, 2, FALSE))</f>
      </c>
      <c r="Q235" s="0">
        <f>IF(P235="", "", VLOOKUP(P235, DanhSachNhanVien, 2, FALSE))</f>
      </c>
      <c r="Z235" s="0">
        <f>IF(D235="", "", VLOOKUP(D235, DanhSachLoaiQuyetDinhRange, 2, FALSE))</f>
      </c>
      <c r="AA235" s="0">
        <f>IF(I235="", "", VLOOKUP(I235, DanhSachPhongBanRange, 2, FALSE))</f>
      </c>
      <c r="AB235" s="0">
        <f>IF(J235="", "", VLOOKUP(J235, DanhSachChucDanhRange, 2, FALSE))</f>
      </c>
      <c r="AC235" s="0">
        <f>IF(L235="", "", VLOOKUP(L235, ThangLuongData, 2, FALSE))</f>
      </c>
      <c r="AD235" s="0">
        <f>IF(M235="", "", VLOOKUP(M235, NgachLuongData, 2, FALSE))</f>
      </c>
      <c r="AE235" s="0">
        <f>IF(N235="", "", VLOOKUP(N235, BacLuongData, 2, FALSE))</f>
      </c>
      <c r="AF235" s="0">
        <f>IF(P235="", "", VLOOKUP(P235, DanhSachCodeId, 3, FALSE))</f>
      </c>
    </row>
    <row r="236">
      <c r="A236" s="0">
        <f>IF(B236="", "", VLOOKUP(B236, DanhSachCodeId, 3, FALSE))</f>
      </c>
      <c r="C236" s="0">
        <f>IF(B236="", "", VLOOKUP(B236, DanhSachNhanVien, 2, FALSE))</f>
      </c>
      <c r="Q236" s="0">
        <f>IF(P236="", "", VLOOKUP(P236, DanhSachNhanVien, 2, FALSE))</f>
      </c>
      <c r="Z236" s="0">
        <f>IF(D236="", "", VLOOKUP(D236, DanhSachLoaiQuyetDinhRange, 2, FALSE))</f>
      </c>
      <c r="AA236" s="0">
        <f>IF(I236="", "", VLOOKUP(I236, DanhSachPhongBanRange, 2, FALSE))</f>
      </c>
      <c r="AB236" s="0">
        <f>IF(J236="", "", VLOOKUP(J236, DanhSachChucDanhRange, 2, FALSE))</f>
      </c>
      <c r="AC236" s="0">
        <f>IF(L236="", "", VLOOKUP(L236, ThangLuongData, 2, FALSE))</f>
      </c>
      <c r="AD236" s="0">
        <f>IF(M236="", "", VLOOKUP(M236, NgachLuongData, 2, FALSE))</f>
      </c>
      <c r="AE236" s="0">
        <f>IF(N236="", "", VLOOKUP(N236, BacLuongData, 2, FALSE))</f>
      </c>
      <c r="AF236" s="0">
        <f>IF(P236="", "", VLOOKUP(P236, DanhSachCodeId, 3, FALSE))</f>
      </c>
    </row>
    <row r="237">
      <c r="A237" s="0">
        <f>IF(B237="", "", VLOOKUP(B237, DanhSachCodeId, 3, FALSE))</f>
      </c>
      <c r="C237" s="0">
        <f>IF(B237="", "", VLOOKUP(B237, DanhSachNhanVien, 2, FALSE))</f>
      </c>
      <c r="Q237" s="0">
        <f>IF(P237="", "", VLOOKUP(P237, DanhSachNhanVien, 2, FALSE))</f>
      </c>
      <c r="Z237" s="0">
        <f>IF(D237="", "", VLOOKUP(D237, DanhSachLoaiQuyetDinhRange, 2, FALSE))</f>
      </c>
      <c r="AA237" s="0">
        <f>IF(I237="", "", VLOOKUP(I237, DanhSachPhongBanRange, 2, FALSE))</f>
      </c>
      <c r="AB237" s="0">
        <f>IF(J237="", "", VLOOKUP(J237, DanhSachChucDanhRange, 2, FALSE))</f>
      </c>
      <c r="AC237" s="0">
        <f>IF(L237="", "", VLOOKUP(L237, ThangLuongData, 2, FALSE))</f>
      </c>
      <c r="AD237" s="0">
        <f>IF(M237="", "", VLOOKUP(M237, NgachLuongData, 2, FALSE))</f>
      </c>
      <c r="AE237" s="0">
        <f>IF(N237="", "", VLOOKUP(N237, BacLuongData, 2, FALSE))</f>
      </c>
      <c r="AF237" s="0">
        <f>IF(P237="", "", VLOOKUP(P237, DanhSachCodeId, 3, FALSE))</f>
      </c>
    </row>
    <row r="238">
      <c r="A238" s="0">
        <f>IF(B238="", "", VLOOKUP(B238, DanhSachCodeId, 3, FALSE))</f>
      </c>
      <c r="C238" s="0">
        <f>IF(B238="", "", VLOOKUP(B238, DanhSachNhanVien, 2, FALSE))</f>
      </c>
      <c r="Q238" s="0">
        <f>IF(P238="", "", VLOOKUP(P238, DanhSachNhanVien, 2, FALSE))</f>
      </c>
      <c r="Z238" s="0">
        <f>IF(D238="", "", VLOOKUP(D238, DanhSachLoaiQuyetDinhRange, 2, FALSE))</f>
      </c>
      <c r="AA238" s="0">
        <f>IF(I238="", "", VLOOKUP(I238, DanhSachPhongBanRange, 2, FALSE))</f>
      </c>
      <c r="AB238" s="0">
        <f>IF(J238="", "", VLOOKUP(J238, DanhSachChucDanhRange, 2, FALSE))</f>
      </c>
      <c r="AC238" s="0">
        <f>IF(L238="", "", VLOOKUP(L238, ThangLuongData, 2, FALSE))</f>
      </c>
      <c r="AD238" s="0">
        <f>IF(M238="", "", VLOOKUP(M238, NgachLuongData, 2, FALSE))</f>
      </c>
      <c r="AE238" s="0">
        <f>IF(N238="", "", VLOOKUP(N238, BacLuongData, 2, FALSE))</f>
      </c>
      <c r="AF238" s="0">
        <f>IF(P238="", "", VLOOKUP(P238, DanhSachCodeId, 3, FALSE))</f>
      </c>
    </row>
    <row r="239">
      <c r="A239" s="0">
        <f>IF(B239="", "", VLOOKUP(B239, DanhSachCodeId, 3, FALSE))</f>
      </c>
      <c r="C239" s="0">
        <f>IF(B239="", "", VLOOKUP(B239, DanhSachNhanVien, 2, FALSE))</f>
      </c>
      <c r="Q239" s="0">
        <f>IF(P239="", "", VLOOKUP(P239, DanhSachNhanVien, 2, FALSE))</f>
      </c>
      <c r="Z239" s="0">
        <f>IF(D239="", "", VLOOKUP(D239, DanhSachLoaiQuyetDinhRange, 2, FALSE))</f>
      </c>
      <c r="AA239" s="0">
        <f>IF(I239="", "", VLOOKUP(I239, DanhSachPhongBanRange, 2, FALSE))</f>
      </c>
      <c r="AB239" s="0">
        <f>IF(J239="", "", VLOOKUP(J239, DanhSachChucDanhRange, 2, FALSE))</f>
      </c>
      <c r="AC239" s="0">
        <f>IF(L239="", "", VLOOKUP(L239, ThangLuongData, 2, FALSE))</f>
      </c>
      <c r="AD239" s="0">
        <f>IF(M239="", "", VLOOKUP(M239, NgachLuongData, 2, FALSE))</f>
      </c>
      <c r="AE239" s="0">
        <f>IF(N239="", "", VLOOKUP(N239, BacLuongData, 2, FALSE))</f>
      </c>
      <c r="AF239" s="0">
        <f>IF(P239="", "", VLOOKUP(P239, DanhSachCodeId, 3, FALSE))</f>
      </c>
    </row>
    <row r="240">
      <c r="A240" s="0">
        <f>IF(B240="", "", VLOOKUP(B240, DanhSachCodeId, 3, FALSE))</f>
      </c>
      <c r="C240" s="0">
        <f>IF(B240="", "", VLOOKUP(B240, DanhSachNhanVien, 2, FALSE))</f>
      </c>
      <c r="Q240" s="0">
        <f>IF(P240="", "", VLOOKUP(P240, DanhSachNhanVien, 2, FALSE))</f>
      </c>
      <c r="Z240" s="0">
        <f>IF(D240="", "", VLOOKUP(D240, DanhSachLoaiQuyetDinhRange, 2, FALSE))</f>
      </c>
      <c r="AA240" s="0">
        <f>IF(I240="", "", VLOOKUP(I240, DanhSachPhongBanRange, 2, FALSE))</f>
      </c>
      <c r="AB240" s="0">
        <f>IF(J240="", "", VLOOKUP(J240, DanhSachChucDanhRange, 2, FALSE))</f>
      </c>
      <c r="AC240" s="0">
        <f>IF(L240="", "", VLOOKUP(L240, ThangLuongData, 2, FALSE))</f>
      </c>
      <c r="AD240" s="0">
        <f>IF(M240="", "", VLOOKUP(M240, NgachLuongData, 2, FALSE))</f>
      </c>
      <c r="AE240" s="0">
        <f>IF(N240="", "", VLOOKUP(N240, BacLuongData, 2, FALSE))</f>
      </c>
      <c r="AF240" s="0">
        <f>IF(P240="", "", VLOOKUP(P240, DanhSachCodeId, 3, FALSE))</f>
      </c>
    </row>
    <row r="241">
      <c r="A241" s="0">
        <f>IF(B241="", "", VLOOKUP(B241, DanhSachCodeId, 3, FALSE))</f>
      </c>
      <c r="C241" s="0">
        <f>IF(B241="", "", VLOOKUP(B241, DanhSachNhanVien, 2, FALSE))</f>
      </c>
      <c r="Q241" s="0">
        <f>IF(P241="", "", VLOOKUP(P241, DanhSachNhanVien, 2, FALSE))</f>
      </c>
      <c r="Z241" s="0">
        <f>IF(D241="", "", VLOOKUP(D241, DanhSachLoaiQuyetDinhRange, 2, FALSE))</f>
      </c>
      <c r="AA241" s="0">
        <f>IF(I241="", "", VLOOKUP(I241, DanhSachPhongBanRange, 2, FALSE))</f>
      </c>
      <c r="AB241" s="0">
        <f>IF(J241="", "", VLOOKUP(J241, DanhSachChucDanhRange, 2, FALSE))</f>
      </c>
      <c r="AC241" s="0">
        <f>IF(L241="", "", VLOOKUP(L241, ThangLuongData, 2, FALSE))</f>
      </c>
      <c r="AD241" s="0">
        <f>IF(M241="", "", VLOOKUP(M241, NgachLuongData, 2, FALSE))</f>
      </c>
      <c r="AE241" s="0">
        <f>IF(N241="", "", VLOOKUP(N241, BacLuongData, 2, FALSE))</f>
      </c>
      <c r="AF241" s="0">
        <f>IF(P241="", "", VLOOKUP(P241, DanhSachCodeId, 3, FALSE))</f>
      </c>
    </row>
    <row r="242">
      <c r="A242" s="0">
        <f>IF(B242="", "", VLOOKUP(B242, DanhSachCodeId, 3, FALSE))</f>
      </c>
      <c r="C242" s="0">
        <f>IF(B242="", "", VLOOKUP(B242, DanhSachNhanVien, 2, FALSE))</f>
      </c>
      <c r="Q242" s="0">
        <f>IF(P242="", "", VLOOKUP(P242, DanhSachNhanVien, 2, FALSE))</f>
      </c>
      <c r="Z242" s="0">
        <f>IF(D242="", "", VLOOKUP(D242, DanhSachLoaiQuyetDinhRange, 2, FALSE))</f>
      </c>
      <c r="AA242" s="0">
        <f>IF(I242="", "", VLOOKUP(I242, DanhSachPhongBanRange, 2, FALSE))</f>
      </c>
      <c r="AB242" s="0">
        <f>IF(J242="", "", VLOOKUP(J242, DanhSachChucDanhRange, 2, FALSE))</f>
      </c>
      <c r="AC242" s="0">
        <f>IF(L242="", "", VLOOKUP(L242, ThangLuongData, 2, FALSE))</f>
      </c>
      <c r="AD242" s="0">
        <f>IF(M242="", "", VLOOKUP(M242, NgachLuongData, 2, FALSE))</f>
      </c>
      <c r="AE242" s="0">
        <f>IF(N242="", "", VLOOKUP(N242, BacLuongData, 2, FALSE))</f>
      </c>
      <c r="AF242" s="0">
        <f>IF(P242="", "", VLOOKUP(P242, DanhSachCodeId, 3, FALSE))</f>
      </c>
    </row>
    <row r="243">
      <c r="A243" s="0">
        <f>IF(B243="", "", VLOOKUP(B243, DanhSachCodeId, 3, FALSE))</f>
      </c>
      <c r="C243" s="0">
        <f>IF(B243="", "", VLOOKUP(B243, DanhSachNhanVien, 2, FALSE))</f>
      </c>
      <c r="Q243" s="0">
        <f>IF(P243="", "", VLOOKUP(P243, DanhSachNhanVien, 2, FALSE))</f>
      </c>
      <c r="Z243" s="0">
        <f>IF(D243="", "", VLOOKUP(D243, DanhSachLoaiQuyetDinhRange, 2, FALSE))</f>
      </c>
      <c r="AA243" s="0">
        <f>IF(I243="", "", VLOOKUP(I243, DanhSachPhongBanRange, 2, FALSE))</f>
      </c>
      <c r="AB243" s="0">
        <f>IF(J243="", "", VLOOKUP(J243, DanhSachChucDanhRange, 2, FALSE))</f>
      </c>
      <c r="AC243" s="0">
        <f>IF(L243="", "", VLOOKUP(L243, ThangLuongData, 2, FALSE))</f>
      </c>
      <c r="AD243" s="0">
        <f>IF(M243="", "", VLOOKUP(M243, NgachLuongData, 2, FALSE))</f>
      </c>
      <c r="AE243" s="0">
        <f>IF(N243="", "", VLOOKUP(N243, BacLuongData, 2, FALSE))</f>
      </c>
      <c r="AF243" s="0">
        <f>IF(P243="", "", VLOOKUP(P243, DanhSachCodeId, 3, FALSE))</f>
      </c>
    </row>
    <row r="244">
      <c r="A244" s="0">
        <f>IF(B244="", "", VLOOKUP(B244, DanhSachCodeId, 3, FALSE))</f>
      </c>
      <c r="C244" s="0">
        <f>IF(B244="", "", VLOOKUP(B244, DanhSachNhanVien, 2, FALSE))</f>
      </c>
      <c r="Q244" s="0">
        <f>IF(P244="", "", VLOOKUP(P244, DanhSachNhanVien, 2, FALSE))</f>
      </c>
      <c r="Z244" s="0">
        <f>IF(D244="", "", VLOOKUP(D244, DanhSachLoaiQuyetDinhRange, 2, FALSE))</f>
      </c>
      <c r="AA244" s="0">
        <f>IF(I244="", "", VLOOKUP(I244, DanhSachPhongBanRange, 2, FALSE))</f>
      </c>
      <c r="AB244" s="0">
        <f>IF(J244="", "", VLOOKUP(J244, DanhSachChucDanhRange, 2, FALSE))</f>
      </c>
      <c r="AC244" s="0">
        <f>IF(L244="", "", VLOOKUP(L244, ThangLuongData, 2, FALSE))</f>
      </c>
      <c r="AD244" s="0">
        <f>IF(M244="", "", VLOOKUP(M244, NgachLuongData, 2, FALSE))</f>
      </c>
      <c r="AE244" s="0">
        <f>IF(N244="", "", VLOOKUP(N244, BacLuongData, 2, FALSE))</f>
      </c>
      <c r="AF244" s="0">
        <f>IF(P244="", "", VLOOKUP(P244, DanhSachCodeId, 3, FALSE))</f>
      </c>
    </row>
    <row r="245">
      <c r="A245" s="0">
        <f>IF(B245="", "", VLOOKUP(B245, DanhSachCodeId, 3, FALSE))</f>
      </c>
      <c r="C245" s="0">
        <f>IF(B245="", "", VLOOKUP(B245, DanhSachNhanVien, 2, FALSE))</f>
      </c>
      <c r="Q245" s="0">
        <f>IF(P245="", "", VLOOKUP(P245, DanhSachNhanVien, 2, FALSE))</f>
      </c>
      <c r="Z245" s="0">
        <f>IF(D245="", "", VLOOKUP(D245, DanhSachLoaiQuyetDinhRange, 2, FALSE))</f>
      </c>
      <c r="AA245" s="0">
        <f>IF(I245="", "", VLOOKUP(I245, DanhSachPhongBanRange, 2, FALSE))</f>
      </c>
      <c r="AB245" s="0">
        <f>IF(J245="", "", VLOOKUP(J245, DanhSachChucDanhRange, 2, FALSE))</f>
      </c>
      <c r="AC245" s="0">
        <f>IF(L245="", "", VLOOKUP(L245, ThangLuongData, 2, FALSE))</f>
      </c>
      <c r="AD245" s="0">
        <f>IF(M245="", "", VLOOKUP(M245, NgachLuongData, 2, FALSE))</f>
      </c>
      <c r="AE245" s="0">
        <f>IF(N245="", "", VLOOKUP(N245, BacLuongData, 2, FALSE))</f>
      </c>
      <c r="AF245" s="0">
        <f>IF(P245="", "", VLOOKUP(P245, DanhSachCodeId, 3, FALSE))</f>
      </c>
    </row>
    <row r="246">
      <c r="A246" s="0">
        <f>IF(B246="", "", VLOOKUP(B246, DanhSachCodeId, 3, FALSE))</f>
      </c>
      <c r="C246" s="0">
        <f>IF(B246="", "", VLOOKUP(B246, DanhSachNhanVien, 2, FALSE))</f>
      </c>
      <c r="Q246" s="0">
        <f>IF(P246="", "", VLOOKUP(P246, DanhSachNhanVien, 2, FALSE))</f>
      </c>
      <c r="Z246" s="0">
        <f>IF(D246="", "", VLOOKUP(D246, DanhSachLoaiQuyetDinhRange, 2, FALSE))</f>
      </c>
      <c r="AA246" s="0">
        <f>IF(I246="", "", VLOOKUP(I246, DanhSachPhongBanRange, 2, FALSE))</f>
      </c>
      <c r="AB246" s="0">
        <f>IF(J246="", "", VLOOKUP(J246, DanhSachChucDanhRange, 2, FALSE))</f>
      </c>
      <c r="AC246" s="0">
        <f>IF(L246="", "", VLOOKUP(L246, ThangLuongData, 2, FALSE))</f>
      </c>
      <c r="AD246" s="0">
        <f>IF(M246="", "", VLOOKUP(M246, NgachLuongData, 2, FALSE))</f>
      </c>
      <c r="AE246" s="0">
        <f>IF(N246="", "", VLOOKUP(N246, BacLuongData, 2, FALSE))</f>
      </c>
      <c r="AF246" s="0">
        <f>IF(P246="", "", VLOOKUP(P246, DanhSachCodeId, 3, FALSE))</f>
      </c>
    </row>
    <row r="247">
      <c r="A247" s="0">
        <f>IF(B247="", "", VLOOKUP(B247, DanhSachCodeId, 3, FALSE))</f>
      </c>
      <c r="C247" s="0">
        <f>IF(B247="", "", VLOOKUP(B247, DanhSachNhanVien, 2, FALSE))</f>
      </c>
      <c r="Q247" s="0">
        <f>IF(P247="", "", VLOOKUP(P247, DanhSachNhanVien, 2, FALSE))</f>
      </c>
      <c r="Z247" s="0">
        <f>IF(D247="", "", VLOOKUP(D247, DanhSachLoaiQuyetDinhRange, 2, FALSE))</f>
      </c>
      <c r="AA247" s="0">
        <f>IF(I247="", "", VLOOKUP(I247, DanhSachPhongBanRange, 2, FALSE))</f>
      </c>
      <c r="AB247" s="0">
        <f>IF(J247="", "", VLOOKUP(J247, DanhSachChucDanhRange, 2, FALSE))</f>
      </c>
      <c r="AC247" s="0">
        <f>IF(L247="", "", VLOOKUP(L247, ThangLuongData, 2, FALSE))</f>
      </c>
      <c r="AD247" s="0">
        <f>IF(M247="", "", VLOOKUP(M247, NgachLuongData, 2, FALSE))</f>
      </c>
      <c r="AE247" s="0">
        <f>IF(N247="", "", VLOOKUP(N247, BacLuongData, 2, FALSE))</f>
      </c>
      <c r="AF247" s="0">
        <f>IF(P247="", "", VLOOKUP(P247, DanhSachCodeId, 3, FALSE))</f>
      </c>
    </row>
    <row r="248">
      <c r="A248" s="0">
        <f>IF(B248="", "", VLOOKUP(B248, DanhSachCodeId, 3, FALSE))</f>
      </c>
      <c r="C248" s="0">
        <f>IF(B248="", "", VLOOKUP(B248, DanhSachNhanVien, 2, FALSE))</f>
      </c>
      <c r="Q248" s="0">
        <f>IF(P248="", "", VLOOKUP(P248, DanhSachNhanVien, 2, FALSE))</f>
      </c>
      <c r="Z248" s="0">
        <f>IF(D248="", "", VLOOKUP(D248, DanhSachLoaiQuyetDinhRange, 2, FALSE))</f>
      </c>
      <c r="AA248" s="0">
        <f>IF(I248="", "", VLOOKUP(I248, DanhSachPhongBanRange, 2, FALSE))</f>
      </c>
      <c r="AB248" s="0">
        <f>IF(J248="", "", VLOOKUP(J248, DanhSachChucDanhRange, 2, FALSE))</f>
      </c>
      <c r="AC248" s="0">
        <f>IF(L248="", "", VLOOKUP(L248, ThangLuongData, 2, FALSE))</f>
      </c>
      <c r="AD248" s="0">
        <f>IF(M248="", "", VLOOKUP(M248, NgachLuongData, 2, FALSE))</f>
      </c>
      <c r="AE248" s="0">
        <f>IF(N248="", "", VLOOKUP(N248, BacLuongData, 2, FALSE))</f>
      </c>
      <c r="AF248" s="0">
        <f>IF(P248="", "", VLOOKUP(P248, DanhSachCodeId, 3, FALSE))</f>
      </c>
    </row>
    <row r="249">
      <c r="A249" s="0">
        <f>IF(B249="", "", VLOOKUP(B249, DanhSachCodeId, 3, FALSE))</f>
      </c>
      <c r="C249" s="0">
        <f>IF(B249="", "", VLOOKUP(B249, DanhSachNhanVien, 2, FALSE))</f>
      </c>
      <c r="Q249" s="0">
        <f>IF(P249="", "", VLOOKUP(P249, DanhSachNhanVien, 2, FALSE))</f>
      </c>
      <c r="Z249" s="0">
        <f>IF(D249="", "", VLOOKUP(D249, DanhSachLoaiQuyetDinhRange, 2, FALSE))</f>
      </c>
      <c r="AA249" s="0">
        <f>IF(I249="", "", VLOOKUP(I249, DanhSachPhongBanRange, 2, FALSE))</f>
      </c>
      <c r="AB249" s="0">
        <f>IF(J249="", "", VLOOKUP(J249, DanhSachChucDanhRange, 2, FALSE))</f>
      </c>
      <c r="AC249" s="0">
        <f>IF(L249="", "", VLOOKUP(L249, ThangLuongData, 2, FALSE))</f>
      </c>
      <c r="AD249" s="0">
        <f>IF(M249="", "", VLOOKUP(M249, NgachLuongData, 2, FALSE))</f>
      </c>
      <c r="AE249" s="0">
        <f>IF(N249="", "", VLOOKUP(N249, BacLuongData, 2, FALSE))</f>
      </c>
      <c r="AF249" s="0">
        <f>IF(P249="", "", VLOOKUP(P249, DanhSachCodeId, 3, FALSE))</f>
      </c>
    </row>
    <row r="250">
      <c r="A250" s="0">
        <f>IF(B250="", "", VLOOKUP(B250, DanhSachCodeId, 3, FALSE))</f>
      </c>
      <c r="C250" s="0">
        <f>IF(B250="", "", VLOOKUP(B250, DanhSachNhanVien, 2, FALSE))</f>
      </c>
      <c r="Q250" s="0">
        <f>IF(P250="", "", VLOOKUP(P250, DanhSachNhanVien, 2, FALSE))</f>
      </c>
      <c r="Z250" s="0">
        <f>IF(D250="", "", VLOOKUP(D250, DanhSachLoaiQuyetDinhRange, 2, FALSE))</f>
      </c>
      <c r="AA250" s="0">
        <f>IF(I250="", "", VLOOKUP(I250, DanhSachPhongBanRange, 2, FALSE))</f>
      </c>
      <c r="AB250" s="0">
        <f>IF(J250="", "", VLOOKUP(J250, DanhSachChucDanhRange, 2, FALSE))</f>
      </c>
      <c r="AC250" s="0">
        <f>IF(L250="", "", VLOOKUP(L250, ThangLuongData, 2, FALSE))</f>
      </c>
      <c r="AD250" s="0">
        <f>IF(M250="", "", VLOOKUP(M250, NgachLuongData, 2, FALSE))</f>
      </c>
      <c r="AE250" s="0">
        <f>IF(N250="", "", VLOOKUP(N250, BacLuongData, 2, FALSE))</f>
      </c>
      <c r="AF250" s="0">
        <f>IF(P250="", "", VLOOKUP(P250, DanhSachCodeId, 3, FALSE))</f>
      </c>
    </row>
    <row r="251">
      <c r="A251" s="0">
        <f>IF(B251="", "", VLOOKUP(B251, DanhSachCodeId, 3, FALSE))</f>
      </c>
      <c r="C251" s="0">
        <f>IF(B251="", "", VLOOKUP(B251, DanhSachNhanVien, 2, FALSE))</f>
      </c>
      <c r="Q251" s="0">
        <f>IF(P251="", "", VLOOKUP(P251, DanhSachNhanVien, 2, FALSE))</f>
      </c>
      <c r="Z251" s="0">
        <f>IF(D251="", "", VLOOKUP(D251, DanhSachLoaiQuyetDinhRange, 2, FALSE))</f>
      </c>
      <c r="AA251" s="0">
        <f>IF(I251="", "", VLOOKUP(I251, DanhSachPhongBanRange, 2, FALSE))</f>
      </c>
      <c r="AB251" s="0">
        <f>IF(J251="", "", VLOOKUP(J251, DanhSachChucDanhRange, 2, FALSE))</f>
      </c>
      <c r="AC251" s="0">
        <f>IF(L251="", "", VLOOKUP(L251, ThangLuongData, 2, FALSE))</f>
      </c>
      <c r="AD251" s="0">
        <f>IF(M251="", "", VLOOKUP(M251, NgachLuongData, 2, FALSE))</f>
      </c>
      <c r="AE251" s="0">
        <f>IF(N251="", "", VLOOKUP(N251, BacLuongData, 2, FALSE))</f>
      </c>
      <c r="AF251" s="0">
        <f>IF(P251="", "", VLOOKUP(P251, DanhSachCodeId, 3, FALSE))</f>
      </c>
    </row>
    <row r="252">
      <c r="A252" s="0">
        <f>IF(B252="", "", VLOOKUP(B252, DanhSachCodeId, 3, FALSE))</f>
      </c>
      <c r="C252" s="0">
        <f>IF(B252="", "", VLOOKUP(B252, DanhSachNhanVien, 2, FALSE))</f>
      </c>
      <c r="Q252" s="0">
        <f>IF(P252="", "", VLOOKUP(P252, DanhSachNhanVien, 2, FALSE))</f>
      </c>
      <c r="Z252" s="0">
        <f>IF(D252="", "", VLOOKUP(D252, DanhSachLoaiQuyetDinhRange, 2, FALSE))</f>
      </c>
      <c r="AA252" s="0">
        <f>IF(I252="", "", VLOOKUP(I252, DanhSachPhongBanRange, 2, FALSE))</f>
      </c>
      <c r="AB252" s="0">
        <f>IF(J252="", "", VLOOKUP(J252, DanhSachChucDanhRange, 2, FALSE))</f>
      </c>
      <c r="AC252" s="0">
        <f>IF(L252="", "", VLOOKUP(L252, ThangLuongData, 2, FALSE))</f>
      </c>
      <c r="AD252" s="0">
        <f>IF(M252="", "", VLOOKUP(M252, NgachLuongData, 2, FALSE))</f>
      </c>
      <c r="AE252" s="0">
        <f>IF(N252="", "", VLOOKUP(N252, BacLuongData, 2, FALSE))</f>
      </c>
      <c r="AF252" s="0">
        <f>IF(P252="", "", VLOOKUP(P252, DanhSachCodeId, 3, FALSE))</f>
      </c>
    </row>
    <row r="253">
      <c r="A253" s="0">
        <f>IF(B253="", "", VLOOKUP(B253, DanhSachCodeId, 3, FALSE))</f>
      </c>
      <c r="C253" s="0">
        <f>IF(B253="", "", VLOOKUP(B253, DanhSachNhanVien, 2, FALSE))</f>
      </c>
      <c r="Q253" s="0">
        <f>IF(P253="", "", VLOOKUP(P253, DanhSachNhanVien, 2, FALSE))</f>
      </c>
      <c r="Z253" s="0">
        <f>IF(D253="", "", VLOOKUP(D253, DanhSachLoaiQuyetDinhRange, 2, FALSE))</f>
      </c>
      <c r="AA253" s="0">
        <f>IF(I253="", "", VLOOKUP(I253, DanhSachPhongBanRange, 2, FALSE))</f>
      </c>
      <c r="AB253" s="0">
        <f>IF(J253="", "", VLOOKUP(J253, DanhSachChucDanhRange, 2, FALSE))</f>
      </c>
      <c r="AC253" s="0">
        <f>IF(L253="", "", VLOOKUP(L253, ThangLuongData, 2, FALSE))</f>
      </c>
      <c r="AD253" s="0">
        <f>IF(M253="", "", VLOOKUP(M253, NgachLuongData, 2, FALSE))</f>
      </c>
      <c r="AE253" s="0">
        <f>IF(N253="", "", VLOOKUP(N253, BacLuongData, 2, FALSE))</f>
      </c>
      <c r="AF253" s="0">
        <f>IF(P253="", "", VLOOKUP(P253, DanhSachCodeId, 3, FALSE))</f>
      </c>
    </row>
    <row r="254">
      <c r="A254" s="0">
        <f>IF(B254="", "", VLOOKUP(B254, DanhSachCodeId, 3, FALSE))</f>
      </c>
      <c r="C254" s="0">
        <f>IF(B254="", "", VLOOKUP(B254, DanhSachNhanVien, 2, FALSE))</f>
      </c>
      <c r="Q254" s="0">
        <f>IF(P254="", "", VLOOKUP(P254, DanhSachNhanVien, 2, FALSE))</f>
      </c>
      <c r="Z254" s="0">
        <f>IF(D254="", "", VLOOKUP(D254, DanhSachLoaiQuyetDinhRange, 2, FALSE))</f>
      </c>
      <c r="AA254" s="0">
        <f>IF(I254="", "", VLOOKUP(I254, DanhSachPhongBanRange, 2, FALSE))</f>
      </c>
      <c r="AB254" s="0">
        <f>IF(J254="", "", VLOOKUP(J254, DanhSachChucDanhRange, 2, FALSE))</f>
      </c>
      <c r="AC254" s="0">
        <f>IF(L254="", "", VLOOKUP(L254, ThangLuongData, 2, FALSE))</f>
      </c>
      <c r="AD254" s="0">
        <f>IF(M254="", "", VLOOKUP(M254, NgachLuongData, 2, FALSE))</f>
      </c>
      <c r="AE254" s="0">
        <f>IF(N254="", "", VLOOKUP(N254, BacLuongData, 2, FALSE))</f>
      </c>
      <c r="AF254" s="0">
        <f>IF(P254="", "", VLOOKUP(P254, DanhSachCodeId, 3, FALSE))</f>
      </c>
    </row>
    <row r="255">
      <c r="A255" s="0">
        <f>IF(B255="", "", VLOOKUP(B255, DanhSachCodeId, 3, FALSE))</f>
      </c>
      <c r="C255" s="0">
        <f>IF(B255="", "", VLOOKUP(B255, DanhSachNhanVien, 2, FALSE))</f>
      </c>
      <c r="Q255" s="0">
        <f>IF(P255="", "", VLOOKUP(P255, DanhSachNhanVien, 2, FALSE))</f>
      </c>
      <c r="Z255" s="0">
        <f>IF(D255="", "", VLOOKUP(D255, DanhSachLoaiQuyetDinhRange, 2, FALSE))</f>
      </c>
      <c r="AA255" s="0">
        <f>IF(I255="", "", VLOOKUP(I255, DanhSachPhongBanRange, 2, FALSE))</f>
      </c>
      <c r="AB255" s="0">
        <f>IF(J255="", "", VLOOKUP(J255, DanhSachChucDanhRange, 2, FALSE))</f>
      </c>
      <c r="AC255" s="0">
        <f>IF(L255="", "", VLOOKUP(L255, ThangLuongData, 2, FALSE))</f>
      </c>
      <c r="AD255" s="0">
        <f>IF(M255="", "", VLOOKUP(M255, NgachLuongData, 2, FALSE))</f>
      </c>
      <c r="AE255" s="0">
        <f>IF(N255="", "", VLOOKUP(N255, BacLuongData, 2, FALSE))</f>
      </c>
      <c r="AF255" s="0">
        <f>IF(P255="", "", VLOOKUP(P255, DanhSachCodeId, 3, FALSE))</f>
      </c>
    </row>
    <row r="256">
      <c r="A256" s="0">
        <f>IF(B256="", "", VLOOKUP(B256, DanhSachCodeId, 3, FALSE))</f>
      </c>
      <c r="C256" s="0">
        <f>IF(B256="", "", VLOOKUP(B256, DanhSachNhanVien, 2, FALSE))</f>
      </c>
      <c r="Q256" s="0">
        <f>IF(P256="", "", VLOOKUP(P256, DanhSachNhanVien, 2, FALSE))</f>
      </c>
      <c r="Z256" s="0">
        <f>IF(D256="", "", VLOOKUP(D256, DanhSachLoaiQuyetDinhRange, 2, FALSE))</f>
      </c>
      <c r="AA256" s="0">
        <f>IF(I256="", "", VLOOKUP(I256, DanhSachPhongBanRange, 2, FALSE))</f>
      </c>
      <c r="AB256" s="0">
        <f>IF(J256="", "", VLOOKUP(J256, DanhSachChucDanhRange, 2, FALSE))</f>
      </c>
      <c r="AC256" s="0">
        <f>IF(L256="", "", VLOOKUP(L256, ThangLuongData, 2, FALSE))</f>
      </c>
      <c r="AD256" s="0">
        <f>IF(M256="", "", VLOOKUP(M256, NgachLuongData, 2, FALSE))</f>
      </c>
      <c r="AE256" s="0">
        <f>IF(N256="", "", VLOOKUP(N256, BacLuongData, 2, FALSE))</f>
      </c>
      <c r="AF256" s="0">
        <f>IF(P256="", "", VLOOKUP(P256, DanhSachCodeId, 3, FALSE))</f>
      </c>
    </row>
    <row r="257">
      <c r="A257" s="0">
        <f>IF(B257="", "", VLOOKUP(B257, DanhSachCodeId, 3, FALSE))</f>
      </c>
      <c r="C257" s="0">
        <f>IF(B257="", "", VLOOKUP(B257, DanhSachNhanVien, 2, FALSE))</f>
      </c>
      <c r="Q257" s="0">
        <f>IF(P257="", "", VLOOKUP(P257, DanhSachNhanVien, 2, FALSE))</f>
      </c>
      <c r="Z257" s="0">
        <f>IF(D257="", "", VLOOKUP(D257, DanhSachLoaiQuyetDinhRange, 2, FALSE))</f>
      </c>
      <c r="AA257" s="0">
        <f>IF(I257="", "", VLOOKUP(I257, DanhSachPhongBanRange, 2, FALSE))</f>
      </c>
      <c r="AB257" s="0">
        <f>IF(J257="", "", VLOOKUP(J257, DanhSachChucDanhRange, 2, FALSE))</f>
      </c>
      <c r="AC257" s="0">
        <f>IF(L257="", "", VLOOKUP(L257, ThangLuongData, 2, FALSE))</f>
      </c>
      <c r="AD257" s="0">
        <f>IF(M257="", "", VLOOKUP(M257, NgachLuongData, 2, FALSE))</f>
      </c>
      <c r="AE257" s="0">
        <f>IF(N257="", "", VLOOKUP(N257, BacLuongData, 2, FALSE))</f>
      </c>
      <c r="AF257" s="0">
        <f>IF(P257="", "", VLOOKUP(P257, DanhSachCodeId, 3, FALSE))</f>
      </c>
    </row>
    <row r="258">
      <c r="A258" s="0">
        <f>IF(B258="", "", VLOOKUP(B258, DanhSachCodeId, 3, FALSE))</f>
      </c>
      <c r="C258" s="0">
        <f>IF(B258="", "", VLOOKUP(B258, DanhSachNhanVien, 2, FALSE))</f>
      </c>
      <c r="Q258" s="0">
        <f>IF(P258="", "", VLOOKUP(P258, DanhSachNhanVien, 2, FALSE))</f>
      </c>
      <c r="Z258" s="0">
        <f>IF(D258="", "", VLOOKUP(D258, DanhSachLoaiQuyetDinhRange, 2, FALSE))</f>
      </c>
      <c r="AA258" s="0">
        <f>IF(I258="", "", VLOOKUP(I258, DanhSachPhongBanRange, 2, FALSE))</f>
      </c>
      <c r="AB258" s="0">
        <f>IF(J258="", "", VLOOKUP(J258, DanhSachChucDanhRange, 2, FALSE))</f>
      </c>
      <c r="AC258" s="0">
        <f>IF(L258="", "", VLOOKUP(L258, ThangLuongData, 2, FALSE))</f>
      </c>
      <c r="AD258" s="0">
        <f>IF(M258="", "", VLOOKUP(M258, NgachLuongData, 2, FALSE))</f>
      </c>
      <c r="AE258" s="0">
        <f>IF(N258="", "", VLOOKUP(N258, BacLuongData, 2, FALSE))</f>
      </c>
      <c r="AF258" s="0">
        <f>IF(P258="", "", VLOOKUP(P258, DanhSachCodeId, 3, FALSE))</f>
      </c>
    </row>
    <row r="259">
      <c r="A259" s="0">
        <f>IF(B259="", "", VLOOKUP(B259, DanhSachCodeId, 3, FALSE))</f>
      </c>
      <c r="C259" s="0">
        <f>IF(B259="", "", VLOOKUP(B259, DanhSachNhanVien, 2, FALSE))</f>
      </c>
      <c r="Q259" s="0">
        <f>IF(P259="", "", VLOOKUP(P259, DanhSachNhanVien, 2, FALSE))</f>
      </c>
      <c r="Z259" s="0">
        <f>IF(D259="", "", VLOOKUP(D259, DanhSachLoaiQuyetDinhRange, 2, FALSE))</f>
      </c>
      <c r="AA259" s="0">
        <f>IF(I259="", "", VLOOKUP(I259, DanhSachPhongBanRange, 2, FALSE))</f>
      </c>
      <c r="AB259" s="0">
        <f>IF(J259="", "", VLOOKUP(J259, DanhSachChucDanhRange, 2, FALSE))</f>
      </c>
      <c r="AC259" s="0">
        <f>IF(L259="", "", VLOOKUP(L259, ThangLuongData, 2, FALSE))</f>
      </c>
      <c r="AD259" s="0">
        <f>IF(M259="", "", VLOOKUP(M259, NgachLuongData, 2, FALSE))</f>
      </c>
      <c r="AE259" s="0">
        <f>IF(N259="", "", VLOOKUP(N259, BacLuongData, 2, FALSE))</f>
      </c>
      <c r="AF259" s="0">
        <f>IF(P259="", "", VLOOKUP(P259, DanhSachCodeId, 3, FALSE))</f>
      </c>
    </row>
    <row r="260">
      <c r="A260" s="0">
        <f>IF(B260="", "", VLOOKUP(B260, DanhSachCodeId, 3, FALSE))</f>
      </c>
      <c r="C260" s="0">
        <f>IF(B260="", "", VLOOKUP(B260, DanhSachNhanVien, 2, FALSE))</f>
      </c>
      <c r="Q260" s="0">
        <f>IF(P260="", "", VLOOKUP(P260, DanhSachNhanVien, 2, FALSE))</f>
      </c>
      <c r="Z260" s="0">
        <f>IF(D260="", "", VLOOKUP(D260, DanhSachLoaiQuyetDinhRange, 2, FALSE))</f>
      </c>
      <c r="AA260" s="0">
        <f>IF(I260="", "", VLOOKUP(I260, DanhSachPhongBanRange, 2, FALSE))</f>
      </c>
      <c r="AB260" s="0">
        <f>IF(J260="", "", VLOOKUP(J260, DanhSachChucDanhRange, 2, FALSE))</f>
      </c>
      <c r="AC260" s="0">
        <f>IF(L260="", "", VLOOKUP(L260, ThangLuongData, 2, FALSE))</f>
      </c>
      <c r="AD260" s="0">
        <f>IF(M260="", "", VLOOKUP(M260, NgachLuongData, 2, FALSE))</f>
      </c>
      <c r="AE260" s="0">
        <f>IF(N260="", "", VLOOKUP(N260, BacLuongData, 2, FALSE))</f>
      </c>
      <c r="AF260" s="0">
        <f>IF(P260="", "", VLOOKUP(P260, DanhSachCodeId, 3, FALSE))</f>
      </c>
    </row>
    <row r="261">
      <c r="A261" s="0">
        <f>IF(B261="", "", VLOOKUP(B261, DanhSachCodeId, 3, FALSE))</f>
      </c>
      <c r="C261" s="0">
        <f>IF(B261="", "", VLOOKUP(B261, DanhSachNhanVien, 2, FALSE))</f>
      </c>
      <c r="Q261" s="0">
        <f>IF(P261="", "", VLOOKUP(P261, DanhSachNhanVien, 2, FALSE))</f>
      </c>
      <c r="Z261" s="0">
        <f>IF(D261="", "", VLOOKUP(D261, DanhSachLoaiQuyetDinhRange, 2, FALSE))</f>
      </c>
      <c r="AA261" s="0">
        <f>IF(I261="", "", VLOOKUP(I261, DanhSachPhongBanRange, 2, FALSE))</f>
      </c>
      <c r="AB261" s="0">
        <f>IF(J261="", "", VLOOKUP(J261, DanhSachChucDanhRange, 2, FALSE))</f>
      </c>
      <c r="AC261" s="0">
        <f>IF(L261="", "", VLOOKUP(L261, ThangLuongData, 2, FALSE))</f>
      </c>
      <c r="AD261" s="0">
        <f>IF(M261="", "", VLOOKUP(M261, NgachLuongData, 2, FALSE))</f>
      </c>
      <c r="AE261" s="0">
        <f>IF(N261="", "", VLOOKUP(N261, BacLuongData, 2, FALSE))</f>
      </c>
      <c r="AF261" s="0">
        <f>IF(P261="", "", VLOOKUP(P261, DanhSachCodeId, 3, FALSE))</f>
      </c>
    </row>
    <row r="262">
      <c r="A262" s="0">
        <f>IF(B262="", "", VLOOKUP(B262, DanhSachCodeId, 3, FALSE))</f>
      </c>
      <c r="C262" s="0">
        <f>IF(B262="", "", VLOOKUP(B262, DanhSachNhanVien, 2, FALSE))</f>
      </c>
      <c r="Q262" s="0">
        <f>IF(P262="", "", VLOOKUP(P262, DanhSachNhanVien, 2, FALSE))</f>
      </c>
      <c r="Z262" s="0">
        <f>IF(D262="", "", VLOOKUP(D262, DanhSachLoaiQuyetDinhRange, 2, FALSE))</f>
      </c>
      <c r="AA262" s="0">
        <f>IF(I262="", "", VLOOKUP(I262, DanhSachPhongBanRange, 2, FALSE))</f>
      </c>
      <c r="AB262" s="0">
        <f>IF(J262="", "", VLOOKUP(J262, DanhSachChucDanhRange, 2, FALSE))</f>
      </c>
      <c r="AC262" s="0">
        <f>IF(L262="", "", VLOOKUP(L262, ThangLuongData, 2, FALSE))</f>
      </c>
      <c r="AD262" s="0">
        <f>IF(M262="", "", VLOOKUP(M262, NgachLuongData, 2, FALSE))</f>
      </c>
      <c r="AE262" s="0">
        <f>IF(N262="", "", VLOOKUP(N262, BacLuongData, 2, FALSE))</f>
      </c>
      <c r="AF262" s="0">
        <f>IF(P262="", "", VLOOKUP(P262, DanhSachCodeId, 3, FALSE))</f>
      </c>
    </row>
    <row r="263">
      <c r="A263" s="0">
        <f>IF(B263="", "", VLOOKUP(B263, DanhSachCodeId, 3, FALSE))</f>
      </c>
      <c r="C263" s="0">
        <f>IF(B263="", "", VLOOKUP(B263, DanhSachNhanVien, 2, FALSE))</f>
      </c>
      <c r="Q263" s="0">
        <f>IF(P263="", "", VLOOKUP(P263, DanhSachNhanVien, 2, FALSE))</f>
      </c>
      <c r="Z263" s="0">
        <f>IF(D263="", "", VLOOKUP(D263, DanhSachLoaiQuyetDinhRange, 2, FALSE))</f>
      </c>
      <c r="AA263" s="0">
        <f>IF(I263="", "", VLOOKUP(I263, DanhSachPhongBanRange, 2, FALSE))</f>
      </c>
      <c r="AB263" s="0">
        <f>IF(J263="", "", VLOOKUP(J263, DanhSachChucDanhRange, 2, FALSE))</f>
      </c>
      <c r="AC263" s="0">
        <f>IF(L263="", "", VLOOKUP(L263, ThangLuongData, 2, FALSE))</f>
      </c>
      <c r="AD263" s="0">
        <f>IF(M263="", "", VLOOKUP(M263, NgachLuongData, 2, FALSE))</f>
      </c>
      <c r="AE263" s="0">
        <f>IF(N263="", "", VLOOKUP(N263, BacLuongData, 2, FALSE))</f>
      </c>
      <c r="AF263" s="0">
        <f>IF(P263="", "", VLOOKUP(P263, DanhSachCodeId, 3, FALSE))</f>
      </c>
    </row>
    <row r="264">
      <c r="A264" s="0">
        <f>IF(B264="", "", VLOOKUP(B264, DanhSachCodeId, 3, FALSE))</f>
      </c>
      <c r="C264" s="0">
        <f>IF(B264="", "", VLOOKUP(B264, DanhSachNhanVien, 2, FALSE))</f>
      </c>
      <c r="Q264" s="0">
        <f>IF(P264="", "", VLOOKUP(P264, DanhSachNhanVien, 2, FALSE))</f>
      </c>
      <c r="Z264" s="0">
        <f>IF(D264="", "", VLOOKUP(D264, DanhSachLoaiQuyetDinhRange, 2, FALSE))</f>
      </c>
      <c r="AA264" s="0">
        <f>IF(I264="", "", VLOOKUP(I264, DanhSachPhongBanRange, 2, FALSE))</f>
      </c>
      <c r="AB264" s="0">
        <f>IF(J264="", "", VLOOKUP(J264, DanhSachChucDanhRange, 2, FALSE))</f>
      </c>
      <c r="AC264" s="0">
        <f>IF(L264="", "", VLOOKUP(L264, ThangLuongData, 2, FALSE))</f>
      </c>
      <c r="AD264" s="0">
        <f>IF(M264="", "", VLOOKUP(M264, NgachLuongData, 2, FALSE))</f>
      </c>
      <c r="AE264" s="0">
        <f>IF(N264="", "", VLOOKUP(N264, BacLuongData, 2, FALSE))</f>
      </c>
      <c r="AF264" s="0">
        <f>IF(P264="", "", VLOOKUP(P264, DanhSachCodeId, 3, FALSE))</f>
      </c>
    </row>
    <row r="265">
      <c r="A265" s="0">
        <f>IF(B265="", "", VLOOKUP(B265, DanhSachCodeId, 3, FALSE))</f>
      </c>
      <c r="C265" s="0">
        <f>IF(B265="", "", VLOOKUP(B265, DanhSachNhanVien, 2, FALSE))</f>
      </c>
      <c r="Q265" s="0">
        <f>IF(P265="", "", VLOOKUP(P265, DanhSachNhanVien, 2, FALSE))</f>
      </c>
      <c r="Z265" s="0">
        <f>IF(D265="", "", VLOOKUP(D265, DanhSachLoaiQuyetDinhRange, 2, FALSE))</f>
      </c>
      <c r="AA265" s="0">
        <f>IF(I265="", "", VLOOKUP(I265, DanhSachPhongBanRange, 2, FALSE))</f>
      </c>
      <c r="AB265" s="0">
        <f>IF(J265="", "", VLOOKUP(J265, DanhSachChucDanhRange, 2, FALSE))</f>
      </c>
      <c r="AC265" s="0">
        <f>IF(L265="", "", VLOOKUP(L265, ThangLuongData, 2, FALSE))</f>
      </c>
      <c r="AD265" s="0">
        <f>IF(M265="", "", VLOOKUP(M265, NgachLuongData, 2, FALSE))</f>
      </c>
      <c r="AE265" s="0">
        <f>IF(N265="", "", VLOOKUP(N265, BacLuongData, 2, FALSE))</f>
      </c>
      <c r="AF265" s="0">
        <f>IF(P265="", "", VLOOKUP(P265, DanhSachCodeId, 3, FALSE))</f>
      </c>
    </row>
    <row r="266">
      <c r="A266" s="0">
        <f>IF(B266="", "", VLOOKUP(B266, DanhSachCodeId, 3, FALSE))</f>
      </c>
      <c r="C266" s="0">
        <f>IF(B266="", "", VLOOKUP(B266, DanhSachNhanVien, 2, FALSE))</f>
      </c>
      <c r="Q266" s="0">
        <f>IF(P266="", "", VLOOKUP(P266, DanhSachNhanVien, 2, FALSE))</f>
      </c>
      <c r="Z266" s="0">
        <f>IF(D266="", "", VLOOKUP(D266, DanhSachLoaiQuyetDinhRange, 2, FALSE))</f>
      </c>
      <c r="AA266" s="0">
        <f>IF(I266="", "", VLOOKUP(I266, DanhSachPhongBanRange, 2, FALSE))</f>
      </c>
      <c r="AB266" s="0">
        <f>IF(J266="", "", VLOOKUP(J266, DanhSachChucDanhRange, 2, FALSE))</f>
      </c>
      <c r="AC266" s="0">
        <f>IF(L266="", "", VLOOKUP(L266, ThangLuongData, 2, FALSE))</f>
      </c>
      <c r="AD266" s="0">
        <f>IF(M266="", "", VLOOKUP(M266, NgachLuongData, 2, FALSE))</f>
      </c>
      <c r="AE266" s="0">
        <f>IF(N266="", "", VLOOKUP(N266, BacLuongData, 2, FALSE))</f>
      </c>
      <c r="AF266" s="0">
        <f>IF(P266="", "", VLOOKUP(P266, DanhSachCodeId, 3, FALSE))</f>
      </c>
    </row>
    <row r="267">
      <c r="A267" s="0">
        <f>IF(B267="", "", VLOOKUP(B267, DanhSachCodeId, 3, FALSE))</f>
      </c>
      <c r="C267" s="0">
        <f>IF(B267="", "", VLOOKUP(B267, DanhSachNhanVien, 2, FALSE))</f>
      </c>
      <c r="Q267" s="0">
        <f>IF(P267="", "", VLOOKUP(P267, DanhSachNhanVien, 2, FALSE))</f>
      </c>
      <c r="Z267" s="0">
        <f>IF(D267="", "", VLOOKUP(D267, DanhSachLoaiQuyetDinhRange, 2, FALSE))</f>
      </c>
      <c r="AA267" s="0">
        <f>IF(I267="", "", VLOOKUP(I267, DanhSachPhongBanRange, 2, FALSE))</f>
      </c>
      <c r="AB267" s="0">
        <f>IF(J267="", "", VLOOKUP(J267, DanhSachChucDanhRange, 2, FALSE))</f>
      </c>
      <c r="AC267" s="0">
        <f>IF(L267="", "", VLOOKUP(L267, ThangLuongData, 2, FALSE))</f>
      </c>
      <c r="AD267" s="0">
        <f>IF(M267="", "", VLOOKUP(M267, NgachLuongData, 2, FALSE))</f>
      </c>
      <c r="AE267" s="0">
        <f>IF(N267="", "", VLOOKUP(N267, BacLuongData, 2, FALSE))</f>
      </c>
      <c r="AF267" s="0">
        <f>IF(P267="", "", VLOOKUP(P267, DanhSachCodeId, 3, FALSE))</f>
      </c>
    </row>
    <row r="268">
      <c r="A268" s="0">
        <f>IF(B268="", "", VLOOKUP(B268, DanhSachCodeId, 3, FALSE))</f>
      </c>
      <c r="C268" s="0">
        <f>IF(B268="", "", VLOOKUP(B268, DanhSachNhanVien, 2, FALSE))</f>
      </c>
      <c r="Q268" s="0">
        <f>IF(P268="", "", VLOOKUP(P268, DanhSachNhanVien, 2, FALSE))</f>
      </c>
      <c r="Z268" s="0">
        <f>IF(D268="", "", VLOOKUP(D268, DanhSachLoaiQuyetDinhRange, 2, FALSE))</f>
      </c>
      <c r="AA268" s="0">
        <f>IF(I268="", "", VLOOKUP(I268, DanhSachPhongBanRange, 2, FALSE))</f>
      </c>
      <c r="AB268" s="0">
        <f>IF(J268="", "", VLOOKUP(J268, DanhSachChucDanhRange, 2, FALSE))</f>
      </c>
      <c r="AC268" s="0">
        <f>IF(L268="", "", VLOOKUP(L268, ThangLuongData, 2, FALSE))</f>
      </c>
      <c r="AD268" s="0">
        <f>IF(M268="", "", VLOOKUP(M268, NgachLuongData, 2, FALSE))</f>
      </c>
      <c r="AE268" s="0">
        <f>IF(N268="", "", VLOOKUP(N268, BacLuongData, 2, FALSE))</f>
      </c>
      <c r="AF268" s="0">
        <f>IF(P268="", "", VLOOKUP(P268, DanhSachCodeId, 3, FALSE))</f>
      </c>
    </row>
    <row r="269">
      <c r="A269" s="0">
        <f>IF(B269="", "", VLOOKUP(B269, DanhSachCodeId, 3, FALSE))</f>
      </c>
      <c r="C269" s="0">
        <f>IF(B269="", "", VLOOKUP(B269, DanhSachNhanVien, 2, FALSE))</f>
      </c>
      <c r="Q269" s="0">
        <f>IF(P269="", "", VLOOKUP(P269, DanhSachNhanVien, 2, FALSE))</f>
      </c>
      <c r="Z269" s="0">
        <f>IF(D269="", "", VLOOKUP(D269, DanhSachLoaiQuyetDinhRange, 2, FALSE))</f>
      </c>
      <c r="AA269" s="0">
        <f>IF(I269="", "", VLOOKUP(I269, DanhSachPhongBanRange, 2, FALSE))</f>
      </c>
      <c r="AB269" s="0">
        <f>IF(J269="", "", VLOOKUP(J269, DanhSachChucDanhRange, 2, FALSE))</f>
      </c>
      <c r="AC269" s="0">
        <f>IF(L269="", "", VLOOKUP(L269, ThangLuongData, 2, FALSE))</f>
      </c>
      <c r="AD269" s="0">
        <f>IF(M269="", "", VLOOKUP(M269, NgachLuongData, 2, FALSE))</f>
      </c>
      <c r="AE269" s="0">
        <f>IF(N269="", "", VLOOKUP(N269, BacLuongData, 2, FALSE))</f>
      </c>
      <c r="AF269" s="0">
        <f>IF(P269="", "", VLOOKUP(P269, DanhSachCodeId, 3, FALSE))</f>
      </c>
    </row>
    <row r="270">
      <c r="A270" s="0">
        <f>IF(B270="", "", VLOOKUP(B270, DanhSachCodeId, 3, FALSE))</f>
      </c>
      <c r="C270" s="0">
        <f>IF(B270="", "", VLOOKUP(B270, DanhSachNhanVien, 2, FALSE))</f>
      </c>
      <c r="Q270" s="0">
        <f>IF(P270="", "", VLOOKUP(P270, DanhSachNhanVien, 2, FALSE))</f>
      </c>
      <c r="Z270" s="0">
        <f>IF(D270="", "", VLOOKUP(D270, DanhSachLoaiQuyetDinhRange, 2, FALSE))</f>
      </c>
      <c r="AA270" s="0">
        <f>IF(I270="", "", VLOOKUP(I270, DanhSachPhongBanRange, 2, FALSE))</f>
      </c>
      <c r="AB270" s="0">
        <f>IF(J270="", "", VLOOKUP(J270, DanhSachChucDanhRange, 2, FALSE))</f>
      </c>
      <c r="AC270" s="0">
        <f>IF(L270="", "", VLOOKUP(L270, ThangLuongData, 2, FALSE))</f>
      </c>
      <c r="AD270" s="0">
        <f>IF(M270="", "", VLOOKUP(M270, NgachLuongData, 2, FALSE))</f>
      </c>
      <c r="AE270" s="0">
        <f>IF(N270="", "", VLOOKUP(N270, BacLuongData, 2, FALSE))</f>
      </c>
      <c r="AF270" s="0">
        <f>IF(P270="", "", VLOOKUP(P270, DanhSachCodeId, 3, FALSE))</f>
      </c>
    </row>
    <row r="271">
      <c r="A271" s="0">
        <f>IF(B271="", "", VLOOKUP(B271, DanhSachCodeId, 3, FALSE))</f>
      </c>
      <c r="C271" s="0">
        <f>IF(B271="", "", VLOOKUP(B271, DanhSachNhanVien, 2, FALSE))</f>
      </c>
      <c r="Q271" s="0">
        <f>IF(P271="", "", VLOOKUP(P271, DanhSachNhanVien, 2, FALSE))</f>
      </c>
      <c r="Z271" s="0">
        <f>IF(D271="", "", VLOOKUP(D271, DanhSachLoaiQuyetDinhRange, 2, FALSE))</f>
      </c>
      <c r="AA271" s="0">
        <f>IF(I271="", "", VLOOKUP(I271, DanhSachPhongBanRange, 2, FALSE))</f>
      </c>
      <c r="AB271" s="0">
        <f>IF(J271="", "", VLOOKUP(J271, DanhSachChucDanhRange, 2, FALSE))</f>
      </c>
      <c r="AC271" s="0">
        <f>IF(L271="", "", VLOOKUP(L271, ThangLuongData, 2, FALSE))</f>
      </c>
      <c r="AD271" s="0">
        <f>IF(M271="", "", VLOOKUP(M271, NgachLuongData, 2, FALSE))</f>
      </c>
      <c r="AE271" s="0">
        <f>IF(N271="", "", VLOOKUP(N271, BacLuongData, 2, FALSE))</f>
      </c>
      <c r="AF271" s="0">
        <f>IF(P271="", "", VLOOKUP(P271, DanhSachCodeId, 3, FALSE))</f>
      </c>
    </row>
    <row r="272">
      <c r="A272" s="0">
        <f>IF(B272="", "", VLOOKUP(B272, DanhSachCodeId, 3, FALSE))</f>
      </c>
      <c r="C272" s="0">
        <f>IF(B272="", "", VLOOKUP(B272, DanhSachNhanVien, 2, FALSE))</f>
      </c>
      <c r="Q272" s="0">
        <f>IF(P272="", "", VLOOKUP(P272, DanhSachNhanVien, 2, FALSE))</f>
      </c>
      <c r="Z272" s="0">
        <f>IF(D272="", "", VLOOKUP(D272, DanhSachLoaiQuyetDinhRange, 2, FALSE))</f>
      </c>
      <c r="AA272" s="0">
        <f>IF(I272="", "", VLOOKUP(I272, DanhSachPhongBanRange, 2, FALSE))</f>
      </c>
      <c r="AB272" s="0">
        <f>IF(J272="", "", VLOOKUP(J272, DanhSachChucDanhRange, 2, FALSE))</f>
      </c>
      <c r="AC272" s="0">
        <f>IF(L272="", "", VLOOKUP(L272, ThangLuongData, 2, FALSE))</f>
      </c>
      <c r="AD272" s="0">
        <f>IF(M272="", "", VLOOKUP(M272, NgachLuongData, 2, FALSE))</f>
      </c>
      <c r="AE272" s="0">
        <f>IF(N272="", "", VLOOKUP(N272, BacLuongData, 2, FALSE))</f>
      </c>
      <c r="AF272" s="0">
        <f>IF(P272="", "", VLOOKUP(P272, DanhSachCodeId, 3, FALSE))</f>
      </c>
    </row>
    <row r="273">
      <c r="A273" s="0">
        <f>IF(B273="", "", VLOOKUP(B273, DanhSachCodeId, 3, FALSE))</f>
      </c>
      <c r="C273" s="0">
        <f>IF(B273="", "", VLOOKUP(B273, DanhSachNhanVien, 2, FALSE))</f>
      </c>
      <c r="Q273" s="0">
        <f>IF(P273="", "", VLOOKUP(P273, DanhSachNhanVien, 2, FALSE))</f>
      </c>
      <c r="Z273" s="0">
        <f>IF(D273="", "", VLOOKUP(D273, DanhSachLoaiQuyetDinhRange, 2, FALSE))</f>
      </c>
      <c r="AA273" s="0">
        <f>IF(I273="", "", VLOOKUP(I273, DanhSachPhongBanRange, 2, FALSE))</f>
      </c>
      <c r="AB273" s="0">
        <f>IF(J273="", "", VLOOKUP(J273, DanhSachChucDanhRange, 2, FALSE))</f>
      </c>
      <c r="AC273" s="0">
        <f>IF(L273="", "", VLOOKUP(L273, ThangLuongData, 2, FALSE))</f>
      </c>
      <c r="AD273" s="0">
        <f>IF(M273="", "", VLOOKUP(M273, NgachLuongData, 2, FALSE))</f>
      </c>
      <c r="AE273" s="0">
        <f>IF(N273="", "", VLOOKUP(N273, BacLuongData, 2, FALSE))</f>
      </c>
      <c r="AF273" s="0">
        <f>IF(P273="", "", VLOOKUP(P273, DanhSachCodeId, 3, FALSE))</f>
      </c>
    </row>
    <row r="274">
      <c r="A274" s="0">
        <f>IF(B274="", "", VLOOKUP(B274, DanhSachCodeId, 3, FALSE))</f>
      </c>
      <c r="C274" s="0">
        <f>IF(B274="", "", VLOOKUP(B274, DanhSachNhanVien, 2, FALSE))</f>
      </c>
      <c r="Q274" s="0">
        <f>IF(P274="", "", VLOOKUP(P274, DanhSachNhanVien, 2, FALSE))</f>
      </c>
      <c r="Z274" s="0">
        <f>IF(D274="", "", VLOOKUP(D274, DanhSachLoaiQuyetDinhRange, 2, FALSE))</f>
      </c>
      <c r="AA274" s="0">
        <f>IF(I274="", "", VLOOKUP(I274, DanhSachPhongBanRange, 2, FALSE))</f>
      </c>
      <c r="AB274" s="0">
        <f>IF(J274="", "", VLOOKUP(J274, DanhSachChucDanhRange, 2, FALSE))</f>
      </c>
      <c r="AC274" s="0">
        <f>IF(L274="", "", VLOOKUP(L274, ThangLuongData, 2, FALSE))</f>
      </c>
      <c r="AD274" s="0">
        <f>IF(M274="", "", VLOOKUP(M274, NgachLuongData, 2, FALSE))</f>
      </c>
      <c r="AE274" s="0">
        <f>IF(N274="", "", VLOOKUP(N274, BacLuongData, 2, FALSE))</f>
      </c>
      <c r="AF274" s="0">
        <f>IF(P274="", "", VLOOKUP(P274, DanhSachCodeId, 3, FALSE))</f>
      </c>
    </row>
    <row r="275">
      <c r="A275" s="0">
        <f>IF(B275="", "", VLOOKUP(B275, DanhSachCodeId, 3, FALSE))</f>
      </c>
      <c r="C275" s="0">
        <f>IF(B275="", "", VLOOKUP(B275, DanhSachNhanVien, 2, FALSE))</f>
      </c>
      <c r="Q275" s="0">
        <f>IF(P275="", "", VLOOKUP(P275, DanhSachNhanVien, 2, FALSE))</f>
      </c>
      <c r="Z275" s="0">
        <f>IF(D275="", "", VLOOKUP(D275, DanhSachLoaiQuyetDinhRange, 2, FALSE))</f>
      </c>
      <c r="AA275" s="0">
        <f>IF(I275="", "", VLOOKUP(I275, DanhSachPhongBanRange, 2, FALSE))</f>
      </c>
      <c r="AB275" s="0">
        <f>IF(J275="", "", VLOOKUP(J275, DanhSachChucDanhRange, 2, FALSE))</f>
      </c>
      <c r="AC275" s="0">
        <f>IF(L275="", "", VLOOKUP(L275, ThangLuongData, 2, FALSE))</f>
      </c>
      <c r="AD275" s="0">
        <f>IF(M275="", "", VLOOKUP(M275, NgachLuongData, 2, FALSE))</f>
      </c>
      <c r="AE275" s="0">
        <f>IF(N275="", "", VLOOKUP(N275, BacLuongData, 2, FALSE))</f>
      </c>
      <c r="AF275" s="0">
        <f>IF(P275="", "", VLOOKUP(P275, DanhSachCodeId, 3, FALSE))</f>
      </c>
    </row>
    <row r="276">
      <c r="A276" s="0">
        <f>IF(B276="", "", VLOOKUP(B276, DanhSachCodeId, 3, FALSE))</f>
      </c>
      <c r="C276" s="0">
        <f>IF(B276="", "", VLOOKUP(B276, DanhSachNhanVien, 2, FALSE))</f>
      </c>
      <c r="Q276" s="0">
        <f>IF(P276="", "", VLOOKUP(P276, DanhSachNhanVien, 2, FALSE))</f>
      </c>
      <c r="Z276" s="0">
        <f>IF(D276="", "", VLOOKUP(D276, DanhSachLoaiQuyetDinhRange, 2, FALSE))</f>
      </c>
      <c r="AA276" s="0">
        <f>IF(I276="", "", VLOOKUP(I276, DanhSachPhongBanRange, 2, FALSE))</f>
      </c>
      <c r="AB276" s="0">
        <f>IF(J276="", "", VLOOKUP(J276, DanhSachChucDanhRange, 2, FALSE))</f>
      </c>
      <c r="AC276" s="0">
        <f>IF(L276="", "", VLOOKUP(L276, ThangLuongData, 2, FALSE))</f>
      </c>
      <c r="AD276" s="0">
        <f>IF(M276="", "", VLOOKUP(M276, NgachLuongData, 2, FALSE))</f>
      </c>
      <c r="AE276" s="0">
        <f>IF(N276="", "", VLOOKUP(N276, BacLuongData, 2, FALSE))</f>
      </c>
      <c r="AF276" s="0">
        <f>IF(P276="", "", VLOOKUP(P276, DanhSachCodeId, 3, FALSE))</f>
      </c>
    </row>
    <row r="277">
      <c r="A277" s="0">
        <f>IF(B277="", "", VLOOKUP(B277, DanhSachCodeId, 3, FALSE))</f>
      </c>
      <c r="C277" s="0">
        <f>IF(B277="", "", VLOOKUP(B277, DanhSachNhanVien, 2, FALSE))</f>
      </c>
      <c r="Q277" s="0">
        <f>IF(P277="", "", VLOOKUP(P277, DanhSachNhanVien, 2, FALSE))</f>
      </c>
      <c r="Z277" s="0">
        <f>IF(D277="", "", VLOOKUP(D277, DanhSachLoaiQuyetDinhRange, 2, FALSE))</f>
      </c>
      <c r="AA277" s="0">
        <f>IF(I277="", "", VLOOKUP(I277, DanhSachPhongBanRange, 2, FALSE))</f>
      </c>
      <c r="AB277" s="0">
        <f>IF(J277="", "", VLOOKUP(J277, DanhSachChucDanhRange, 2, FALSE))</f>
      </c>
      <c r="AC277" s="0">
        <f>IF(L277="", "", VLOOKUP(L277, ThangLuongData, 2, FALSE))</f>
      </c>
      <c r="AD277" s="0">
        <f>IF(M277="", "", VLOOKUP(M277, NgachLuongData, 2, FALSE))</f>
      </c>
      <c r="AE277" s="0">
        <f>IF(N277="", "", VLOOKUP(N277, BacLuongData, 2, FALSE))</f>
      </c>
      <c r="AF277" s="0">
        <f>IF(P277="", "", VLOOKUP(P277, DanhSachCodeId, 3, FALSE))</f>
      </c>
    </row>
    <row r="278">
      <c r="A278" s="0">
        <f>IF(B278="", "", VLOOKUP(B278, DanhSachCodeId, 3, FALSE))</f>
      </c>
      <c r="C278" s="0">
        <f>IF(B278="", "", VLOOKUP(B278, DanhSachNhanVien, 2, FALSE))</f>
      </c>
      <c r="Q278" s="0">
        <f>IF(P278="", "", VLOOKUP(P278, DanhSachNhanVien, 2, FALSE))</f>
      </c>
      <c r="Z278" s="0">
        <f>IF(D278="", "", VLOOKUP(D278, DanhSachLoaiQuyetDinhRange, 2, FALSE))</f>
      </c>
      <c r="AA278" s="0">
        <f>IF(I278="", "", VLOOKUP(I278, DanhSachPhongBanRange, 2, FALSE))</f>
      </c>
      <c r="AB278" s="0">
        <f>IF(J278="", "", VLOOKUP(J278, DanhSachChucDanhRange, 2, FALSE))</f>
      </c>
      <c r="AC278" s="0">
        <f>IF(L278="", "", VLOOKUP(L278, ThangLuongData, 2, FALSE))</f>
      </c>
      <c r="AD278" s="0">
        <f>IF(M278="", "", VLOOKUP(M278, NgachLuongData, 2, FALSE))</f>
      </c>
      <c r="AE278" s="0">
        <f>IF(N278="", "", VLOOKUP(N278, BacLuongData, 2, FALSE))</f>
      </c>
      <c r="AF278" s="0">
        <f>IF(P278="", "", VLOOKUP(P278, DanhSachCodeId, 3, FALSE))</f>
      </c>
    </row>
    <row r="279">
      <c r="A279" s="0">
        <f>IF(B279="", "", VLOOKUP(B279, DanhSachCodeId, 3, FALSE))</f>
      </c>
      <c r="C279" s="0">
        <f>IF(B279="", "", VLOOKUP(B279, DanhSachNhanVien, 2, FALSE))</f>
      </c>
      <c r="Q279" s="0">
        <f>IF(P279="", "", VLOOKUP(P279, DanhSachNhanVien, 2, FALSE))</f>
      </c>
      <c r="Z279" s="0">
        <f>IF(D279="", "", VLOOKUP(D279, DanhSachLoaiQuyetDinhRange, 2, FALSE))</f>
      </c>
      <c r="AA279" s="0">
        <f>IF(I279="", "", VLOOKUP(I279, DanhSachPhongBanRange, 2, FALSE))</f>
      </c>
      <c r="AB279" s="0">
        <f>IF(J279="", "", VLOOKUP(J279, DanhSachChucDanhRange, 2, FALSE))</f>
      </c>
      <c r="AC279" s="0">
        <f>IF(L279="", "", VLOOKUP(L279, ThangLuongData, 2, FALSE))</f>
      </c>
      <c r="AD279" s="0">
        <f>IF(M279="", "", VLOOKUP(M279, NgachLuongData, 2, FALSE))</f>
      </c>
      <c r="AE279" s="0">
        <f>IF(N279="", "", VLOOKUP(N279, BacLuongData, 2, FALSE))</f>
      </c>
      <c r="AF279" s="0">
        <f>IF(P279="", "", VLOOKUP(P279, DanhSachCodeId, 3, FALSE))</f>
      </c>
    </row>
    <row r="280">
      <c r="A280" s="0">
        <f>IF(B280="", "", VLOOKUP(B280, DanhSachCodeId, 3, FALSE))</f>
      </c>
      <c r="C280" s="0">
        <f>IF(B280="", "", VLOOKUP(B280, DanhSachNhanVien, 2, FALSE))</f>
      </c>
      <c r="Q280" s="0">
        <f>IF(P280="", "", VLOOKUP(P280, DanhSachNhanVien, 2, FALSE))</f>
      </c>
      <c r="Z280" s="0">
        <f>IF(D280="", "", VLOOKUP(D280, DanhSachLoaiQuyetDinhRange, 2, FALSE))</f>
      </c>
      <c r="AA280" s="0">
        <f>IF(I280="", "", VLOOKUP(I280, DanhSachPhongBanRange, 2, FALSE))</f>
      </c>
      <c r="AB280" s="0">
        <f>IF(J280="", "", VLOOKUP(J280, DanhSachChucDanhRange, 2, FALSE))</f>
      </c>
      <c r="AC280" s="0">
        <f>IF(L280="", "", VLOOKUP(L280, ThangLuongData, 2, FALSE))</f>
      </c>
      <c r="AD280" s="0">
        <f>IF(M280="", "", VLOOKUP(M280, NgachLuongData, 2, FALSE))</f>
      </c>
      <c r="AE280" s="0">
        <f>IF(N280="", "", VLOOKUP(N280, BacLuongData, 2, FALSE))</f>
      </c>
      <c r="AF280" s="0">
        <f>IF(P280="", "", VLOOKUP(P280, DanhSachCodeId, 3, FALSE))</f>
      </c>
    </row>
    <row r="281">
      <c r="A281" s="0">
        <f>IF(B281="", "", VLOOKUP(B281, DanhSachCodeId, 3, FALSE))</f>
      </c>
      <c r="C281" s="0">
        <f>IF(B281="", "", VLOOKUP(B281, DanhSachNhanVien, 2, FALSE))</f>
      </c>
      <c r="Q281" s="0">
        <f>IF(P281="", "", VLOOKUP(P281, DanhSachNhanVien, 2, FALSE))</f>
      </c>
      <c r="Z281" s="0">
        <f>IF(D281="", "", VLOOKUP(D281, DanhSachLoaiQuyetDinhRange, 2, FALSE))</f>
      </c>
      <c r="AA281" s="0">
        <f>IF(I281="", "", VLOOKUP(I281, DanhSachPhongBanRange, 2, FALSE))</f>
      </c>
      <c r="AB281" s="0">
        <f>IF(J281="", "", VLOOKUP(J281, DanhSachChucDanhRange, 2, FALSE))</f>
      </c>
      <c r="AC281" s="0">
        <f>IF(L281="", "", VLOOKUP(L281, ThangLuongData, 2, FALSE))</f>
      </c>
      <c r="AD281" s="0">
        <f>IF(M281="", "", VLOOKUP(M281, NgachLuongData, 2, FALSE))</f>
      </c>
      <c r="AE281" s="0">
        <f>IF(N281="", "", VLOOKUP(N281, BacLuongData, 2, FALSE))</f>
      </c>
      <c r="AF281" s="0">
        <f>IF(P281="", "", VLOOKUP(P281, DanhSachCodeId, 3, FALSE))</f>
      </c>
    </row>
    <row r="282">
      <c r="A282" s="0">
        <f>IF(B282="", "", VLOOKUP(B282, DanhSachCodeId, 3, FALSE))</f>
      </c>
      <c r="C282" s="0">
        <f>IF(B282="", "", VLOOKUP(B282, DanhSachNhanVien, 2, FALSE))</f>
      </c>
      <c r="Q282" s="0">
        <f>IF(P282="", "", VLOOKUP(P282, DanhSachNhanVien, 2, FALSE))</f>
      </c>
      <c r="Z282" s="0">
        <f>IF(D282="", "", VLOOKUP(D282, DanhSachLoaiQuyetDinhRange, 2, FALSE))</f>
      </c>
      <c r="AA282" s="0">
        <f>IF(I282="", "", VLOOKUP(I282, DanhSachPhongBanRange, 2, FALSE))</f>
      </c>
      <c r="AB282" s="0">
        <f>IF(J282="", "", VLOOKUP(J282, DanhSachChucDanhRange, 2, FALSE))</f>
      </c>
      <c r="AC282" s="0">
        <f>IF(L282="", "", VLOOKUP(L282, ThangLuongData, 2, FALSE))</f>
      </c>
      <c r="AD282" s="0">
        <f>IF(M282="", "", VLOOKUP(M282, NgachLuongData, 2, FALSE))</f>
      </c>
      <c r="AE282" s="0">
        <f>IF(N282="", "", VLOOKUP(N282, BacLuongData, 2, FALSE))</f>
      </c>
      <c r="AF282" s="0">
        <f>IF(P282="", "", VLOOKUP(P282, DanhSachCodeId, 3, FALSE))</f>
      </c>
    </row>
    <row r="283">
      <c r="A283" s="0">
        <f>IF(B283="", "", VLOOKUP(B283, DanhSachCodeId, 3, FALSE))</f>
      </c>
      <c r="C283" s="0">
        <f>IF(B283="", "", VLOOKUP(B283, DanhSachNhanVien, 2, FALSE))</f>
      </c>
      <c r="Q283" s="0">
        <f>IF(P283="", "", VLOOKUP(P283, DanhSachNhanVien, 2, FALSE))</f>
      </c>
      <c r="Z283" s="0">
        <f>IF(D283="", "", VLOOKUP(D283, DanhSachLoaiQuyetDinhRange, 2, FALSE))</f>
      </c>
      <c r="AA283" s="0">
        <f>IF(I283="", "", VLOOKUP(I283, DanhSachPhongBanRange, 2, FALSE))</f>
      </c>
      <c r="AB283" s="0">
        <f>IF(J283="", "", VLOOKUP(J283, DanhSachChucDanhRange, 2, FALSE))</f>
      </c>
      <c r="AC283" s="0">
        <f>IF(L283="", "", VLOOKUP(L283, ThangLuongData, 2, FALSE))</f>
      </c>
      <c r="AD283" s="0">
        <f>IF(M283="", "", VLOOKUP(M283, NgachLuongData, 2, FALSE))</f>
      </c>
      <c r="AE283" s="0">
        <f>IF(N283="", "", VLOOKUP(N283, BacLuongData, 2, FALSE))</f>
      </c>
      <c r="AF283" s="0">
        <f>IF(P283="", "", VLOOKUP(P283, DanhSachCodeId, 3, FALSE))</f>
      </c>
    </row>
    <row r="284">
      <c r="A284" s="0">
        <f>IF(B284="", "", VLOOKUP(B284, DanhSachCodeId, 3, FALSE))</f>
      </c>
      <c r="C284" s="0">
        <f>IF(B284="", "", VLOOKUP(B284, DanhSachNhanVien, 2, FALSE))</f>
      </c>
      <c r="Q284" s="0">
        <f>IF(P284="", "", VLOOKUP(P284, DanhSachNhanVien, 2, FALSE))</f>
      </c>
      <c r="Z284" s="0">
        <f>IF(D284="", "", VLOOKUP(D284, DanhSachLoaiQuyetDinhRange, 2, FALSE))</f>
      </c>
      <c r="AA284" s="0">
        <f>IF(I284="", "", VLOOKUP(I284, DanhSachPhongBanRange, 2, FALSE))</f>
      </c>
      <c r="AB284" s="0">
        <f>IF(J284="", "", VLOOKUP(J284, DanhSachChucDanhRange, 2, FALSE))</f>
      </c>
      <c r="AC284" s="0">
        <f>IF(L284="", "", VLOOKUP(L284, ThangLuongData, 2, FALSE))</f>
      </c>
      <c r="AD284" s="0">
        <f>IF(M284="", "", VLOOKUP(M284, NgachLuongData, 2, FALSE))</f>
      </c>
      <c r="AE284" s="0">
        <f>IF(N284="", "", VLOOKUP(N284, BacLuongData, 2, FALSE))</f>
      </c>
      <c r="AF284" s="0">
        <f>IF(P284="", "", VLOOKUP(P284, DanhSachCodeId, 3, FALSE))</f>
      </c>
    </row>
    <row r="285">
      <c r="A285" s="0">
        <f>IF(B285="", "", VLOOKUP(B285, DanhSachCodeId, 3, FALSE))</f>
      </c>
      <c r="C285" s="0">
        <f>IF(B285="", "", VLOOKUP(B285, DanhSachNhanVien, 2, FALSE))</f>
      </c>
      <c r="Q285" s="0">
        <f>IF(P285="", "", VLOOKUP(P285, DanhSachNhanVien, 2, FALSE))</f>
      </c>
      <c r="Z285" s="0">
        <f>IF(D285="", "", VLOOKUP(D285, DanhSachLoaiQuyetDinhRange, 2, FALSE))</f>
      </c>
      <c r="AA285" s="0">
        <f>IF(I285="", "", VLOOKUP(I285, DanhSachPhongBanRange, 2, FALSE))</f>
      </c>
      <c r="AB285" s="0">
        <f>IF(J285="", "", VLOOKUP(J285, DanhSachChucDanhRange, 2, FALSE))</f>
      </c>
      <c r="AC285" s="0">
        <f>IF(L285="", "", VLOOKUP(L285, ThangLuongData, 2, FALSE))</f>
      </c>
      <c r="AD285" s="0">
        <f>IF(M285="", "", VLOOKUP(M285, NgachLuongData, 2, FALSE))</f>
      </c>
      <c r="AE285" s="0">
        <f>IF(N285="", "", VLOOKUP(N285, BacLuongData, 2, FALSE))</f>
      </c>
      <c r="AF285" s="0">
        <f>IF(P285="", "", VLOOKUP(P285, DanhSachCodeId, 3, FALSE))</f>
      </c>
    </row>
    <row r="286">
      <c r="A286" s="0">
        <f>IF(B286="", "", VLOOKUP(B286, DanhSachCodeId, 3, FALSE))</f>
      </c>
      <c r="C286" s="0">
        <f>IF(B286="", "", VLOOKUP(B286, DanhSachNhanVien, 2, FALSE))</f>
      </c>
      <c r="Q286" s="0">
        <f>IF(P286="", "", VLOOKUP(P286, DanhSachNhanVien, 2, FALSE))</f>
      </c>
      <c r="Z286" s="0">
        <f>IF(D286="", "", VLOOKUP(D286, DanhSachLoaiQuyetDinhRange, 2, FALSE))</f>
      </c>
      <c r="AA286" s="0">
        <f>IF(I286="", "", VLOOKUP(I286, DanhSachPhongBanRange, 2, FALSE))</f>
      </c>
      <c r="AB286" s="0">
        <f>IF(J286="", "", VLOOKUP(J286, DanhSachChucDanhRange, 2, FALSE))</f>
      </c>
      <c r="AC286" s="0">
        <f>IF(L286="", "", VLOOKUP(L286, ThangLuongData, 2, FALSE))</f>
      </c>
      <c r="AD286" s="0">
        <f>IF(M286="", "", VLOOKUP(M286, NgachLuongData, 2, FALSE))</f>
      </c>
      <c r="AE286" s="0">
        <f>IF(N286="", "", VLOOKUP(N286, BacLuongData, 2, FALSE))</f>
      </c>
      <c r="AF286" s="0">
        <f>IF(P286="", "", VLOOKUP(P286, DanhSachCodeId, 3, FALSE))</f>
      </c>
    </row>
    <row r="287">
      <c r="A287" s="0">
        <f>IF(B287="", "", VLOOKUP(B287, DanhSachCodeId, 3, FALSE))</f>
      </c>
      <c r="C287" s="0">
        <f>IF(B287="", "", VLOOKUP(B287, DanhSachNhanVien, 2, FALSE))</f>
      </c>
      <c r="Q287" s="0">
        <f>IF(P287="", "", VLOOKUP(P287, DanhSachNhanVien, 2, FALSE))</f>
      </c>
      <c r="Z287" s="0">
        <f>IF(D287="", "", VLOOKUP(D287, DanhSachLoaiQuyetDinhRange, 2, FALSE))</f>
      </c>
      <c r="AA287" s="0">
        <f>IF(I287="", "", VLOOKUP(I287, DanhSachPhongBanRange, 2, FALSE))</f>
      </c>
      <c r="AB287" s="0">
        <f>IF(J287="", "", VLOOKUP(J287, DanhSachChucDanhRange, 2, FALSE))</f>
      </c>
      <c r="AC287" s="0">
        <f>IF(L287="", "", VLOOKUP(L287, ThangLuongData, 2, FALSE))</f>
      </c>
      <c r="AD287" s="0">
        <f>IF(M287="", "", VLOOKUP(M287, NgachLuongData, 2, FALSE))</f>
      </c>
      <c r="AE287" s="0">
        <f>IF(N287="", "", VLOOKUP(N287, BacLuongData, 2, FALSE))</f>
      </c>
      <c r="AF287" s="0">
        <f>IF(P287="", "", VLOOKUP(P287, DanhSachCodeId, 3, FALSE))</f>
      </c>
    </row>
    <row r="288">
      <c r="A288" s="0">
        <f>IF(B288="", "", VLOOKUP(B288, DanhSachCodeId, 3, FALSE))</f>
      </c>
      <c r="C288" s="0">
        <f>IF(B288="", "", VLOOKUP(B288, DanhSachNhanVien, 2, FALSE))</f>
      </c>
      <c r="Q288" s="0">
        <f>IF(P288="", "", VLOOKUP(P288, DanhSachNhanVien, 2, FALSE))</f>
      </c>
      <c r="Z288" s="0">
        <f>IF(D288="", "", VLOOKUP(D288, DanhSachLoaiQuyetDinhRange, 2, FALSE))</f>
      </c>
      <c r="AA288" s="0">
        <f>IF(I288="", "", VLOOKUP(I288, DanhSachPhongBanRange, 2, FALSE))</f>
      </c>
      <c r="AB288" s="0">
        <f>IF(J288="", "", VLOOKUP(J288, DanhSachChucDanhRange, 2, FALSE))</f>
      </c>
      <c r="AC288" s="0">
        <f>IF(L288="", "", VLOOKUP(L288, ThangLuongData, 2, FALSE))</f>
      </c>
      <c r="AD288" s="0">
        <f>IF(M288="", "", VLOOKUP(M288, NgachLuongData, 2, FALSE))</f>
      </c>
      <c r="AE288" s="0">
        <f>IF(N288="", "", VLOOKUP(N288, BacLuongData, 2, FALSE))</f>
      </c>
      <c r="AF288" s="0">
        <f>IF(P288="", "", VLOOKUP(P288, DanhSachCodeId, 3, FALSE))</f>
      </c>
    </row>
    <row r="289">
      <c r="A289" s="0">
        <f>IF(B289="", "", VLOOKUP(B289, DanhSachCodeId, 3, FALSE))</f>
      </c>
      <c r="C289" s="0">
        <f>IF(B289="", "", VLOOKUP(B289, DanhSachNhanVien, 2, FALSE))</f>
      </c>
      <c r="Q289" s="0">
        <f>IF(P289="", "", VLOOKUP(P289, DanhSachNhanVien, 2, FALSE))</f>
      </c>
      <c r="Z289" s="0">
        <f>IF(D289="", "", VLOOKUP(D289, DanhSachLoaiQuyetDinhRange, 2, FALSE))</f>
      </c>
      <c r="AA289" s="0">
        <f>IF(I289="", "", VLOOKUP(I289, DanhSachPhongBanRange, 2, FALSE))</f>
      </c>
      <c r="AB289" s="0">
        <f>IF(J289="", "", VLOOKUP(J289, DanhSachChucDanhRange, 2, FALSE))</f>
      </c>
      <c r="AC289" s="0">
        <f>IF(L289="", "", VLOOKUP(L289, ThangLuongData, 2, FALSE))</f>
      </c>
      <c r="AD289" s="0">
        <f>IF(M289="", "", VLOOKUP(M289, NgachLuongData, 2, FALSE))</f>
      </c>
      <c r="AE289" s="0">
        <f>IF(N289="", "", VLOOKUP(N289, BacLuongData, 2, FALSE))</f>
      </c>
      <c r="AF289" s="0">
        <f>IF(P289="", "", VLOOKUP(P289, DanhSachCodeId, 3, FALSE))</f>
      </c>
    </row>
    <row r="290">
      <c r="A290" s="0">
        <f>IF(B290="", "", VLOOKUP(B290, DanhSachCodeId, 3, FALSE))</f>
      </c>
      <c r="C290" s="0">
        <f>IF(B290="", "", VLOOKUP(B290, DanhSachNhanVien, 2, FALSE))</f>
      </c>
      <c r="Q290" s="0">
        <f>IF(P290="", "", VLOOKUP(P290, DanhSachNhanVien, 2, FALSE))</f>
      </c>
      <c r="Z290" s="0">
        <f>IF(D290="", "", VLOOKUP(D290, DanhSachLoaiQuyetDinhRange, 2, FALSE))</f>
      </c>
      <c r="AA290" s="0">
        <f>IF(I290="", "", VLOOKUP(I290, DanhSachPhongBanRange, 2, FALSE))</f>
      </c>
      <c r="AB290" s="0">
        <f>IF(J290="", "", VLOOKUP(J290, DanhSachChucDanhRange, 2, FALSE))</f>
      </c>
      <c r="AC290" s="0">
        <f>IF(L290="", "", VLOOKUP(L290, ThangLuongData, 2, FALSE))</f>
      </c>
      <c r="AD290" s="0">
        <f>IF(M290="", "", VLOOKUP(M290, NgachLuongData, 2, FALSE))</f>
      </c>
      <c r="AE290" s="0">
        <f>IF(N290="", "", VLOOKUP(N290, BacLuongData, 2, FALSE))</f>
      </c>
      <c r="AF290" s="0">
        <f>IF(P290="", "", VLOOKUP(P290, DanhSachCodeId, 3, FALSE))</f>
      </c>
    </row>
    <row r="291">
      <c r="A291" s="0">
        <f>IF(B291="", "", VLOOKUP(B291, DanhSachCodeId, 3, FALSE))</f>
      </c>
      <c r="C291" s="0">
        <f>IF(B291="", "", VLOOKUP(B291, DanhSachNhanVien, 2, FALSE))</f>
      </c>
      <c r="Q291" s="0">
        <f>IF(P291="", "", VLOOKUP(P291, DanhSachNhanVien, 2, FALSE))</f>
      </c>
      <c r="Z291" s="0">
        <f>IF(D291="", "", VLOOKUP(D291, DanhSachLoaiQuyetDinhRange, 2, FALSE))</f>
      </c>
      <c r="AA291" s="0">
        <f>IF(I291="", "", VLOOKUP(I291, DanhSachPhongBanRange, 2, FALSE))</f>
      </c>
      <c r="AB291" s="0">
        <f>IF(J291="", "", VLOOKUP(J291, DanhSachChucDanhRange, 2, FALSE))</f>
      </c>
      <c r="AC291" s="0">
        <f>IF(L291="", "", VLOOKUP(L291, ThangLuongData, 2, FALSE))</f>
      </c>
      <c r="AD291" s="0">
        <f>IF(M291="", "", VLOOKUP(M291, NgachLuongData, 2, FALSE))</f>
      </c>
      <c r="AE291" s="0">
        <f>IF(N291="", "", VLOOKUP(N291, BacLuongData, 2, FALSE))</f>
      </c>
      <c r="AF291" s="0">
        <f>IF(P291="", "", VLOOKUP(P291, DanhSachCodeId, 3, FALSE))</f>
      </c>
    </row>
    <row r="292">
      <c r="A292" s="0">
        <f>IF(B292="", "", VLOOKUP(B292, DanhSachCodeId, 3, FALSE))</f>
      </c>
      <c r="C292" s="0">
        <f>IF(B292="", "", VLOOKUP(B292, DanhSachNhanVien, 2, FALSE))</f>
      </c>
      <c r="Q292" s="0">
        <f>IF(P292="", "", VLOOKUP(P292, DanhSachNhanVien, 2, FALSE))</f>
      </c>
      <c r="Z292" s="0">
        <f>IF(D292="", "", VLOOKUP(D292, DanhSachLoaiQuyetDinhRange, 2, FALSE))</f>
      </c>
      <c r="AA292" s="0">
        <f>IF(I292="", "", VLOOKUP(I292, DanhSachPhongBanRange, 2, FALSE))</f>
      </c>
      <c r="AB292" s="0">
        <f>IF(J292="", "", VLOOKUP(J292, DanhSachChucDanhRange, 2, FALSE))</f>
      </c>
      <c r="AC292" s="0">
        <f>IF(L292="", "", VLOOKUP(L292, ThangLuongData, 2, FALSE))</f>
      </c>
      <c r="AD292" s="0">
        <f>IF(M292="", "", VLOOKUP(M292, NgachLuongData, 2, FALSE))</f>
      </c>
      <c r="AE292" s="0">
        <f>IF(N292="", "", VLOOKUP(N292, BacLuongData, 2, FALSE))</f>
      </c>
      <c r="AF292" s="0">
        <f>IF(P292="", "", VLOOKUP(P292, DanhSachCodeId, 3, FALSE))</f>
      </c>
    </row>
    <row r="293">
      <c r="A293" s="0">
        <f>IF(B293="", "", VLOOKUP(B293, DanhSachCodeId, 3, FALSE))</f>
      </c>
      <c r="C293" s="0">
        <f>IF(B293="", "", VLOOKUP(B293, DanhSachNhanVien, 2, FALSE))</f>
      </c>
      <c r="Q293" s="0">
        <f>IF(P293="", "", VLOOKUP(P293, DanhSachNhanVien, 2, FALSE))</f>
      </c>
      <c r="Z293" s="0">
        <f>IF(D293="", "", VLOOKUP(D293, DanhSachLoaiQuyetDinhRange, 2, FALSE))</f>
      </c>
      <c r="AA293" s="0">
        <f>IF(I293="", "", VLOOKUP(I293, DanhSachPhongBanRange, 2, FALSE))</f>
      </c>
      <c r="AB293" s="0">
        <f>IF(J293="", "", VLOOKUP(J293, DanhSachChucDanhRange, 2, FALSE))</f>
      </c>
      <c r="AC293" s="0">
        <f>IF(L293="", "", VLOOKUP(L293, ThangLuongData, 2, FALSE))</f>
      </c>
      <c r="AD293" s="0">
        <f>IF(M293="", "", VLOOKUP(M293, NgachLuongData, 2, FALSE))</f>
      </c>
      <c r="AE293" s="0">
        <f>IF(N293="", "", VLOOKUP(N293, BacLuongData, 2, FALSE))</f>
      </c>
      <c r="AF293" s="0">
        <f>IF(P293="", "", VLOOKUP(P293, DanhSachCodeId, 3, FALSE))</f>
      </c>
    </row>
    <row r="294">
      <c r="A294" s="0">
        <f>IF(B294="", "", VLOOKUP(B294, DanhSachCodeId, 3, FALSE))</f>
      </c>
      <c r="C294" s="0">
        <f>IF(B294="", "", VLOOKUP(B294, DanhSachNhanVien, 2, FALSE))</f>
      </c>
      <c r="Q294" s="0">
        <f>IF(P294="", "", VLOOKUP(P294, DanhSachNhanVien, 2, FALSE))</f>
      </c>
      <c r="Z294" s="0">
        <f>IF(D294="", "", VLOOKUP(D294, DanhSachLoaiQuyetDinhRange, 2, FALSE))</f>
      </c>
      <c r="AA294" s="0">
        <f>IF(I294="", "", VLOOKUP(I294, DanhSachPhongBanRange, 2, FALSE))</f>
      </c>
      <c r="AB294" s="0">
        <f>IF(J294="", "", VLOOKUP(J294, DanhSachChucDanhRange, 2, FALSE))</f>
      </c>
      <c r="AC294" s="0">
        <f>IF(L294="", "", VLOOKUP(L294, ThangLuongData, 2, FALSE))</f>
      </c>
      <c r="AD294" s="0">
        <f>IF(M294="", "", VLOOKUP(M294, NgachLuongData, 2, FALSE))</f>
      </c>
      <c r="AE294" s="0">
        <f>IF(N294="", "", VLOOKUP(N294, BacLuongData, 2, FALSE))</f>
      </c>
      <c r="AF294" s="0">
        <f>IF(P294="", "", VLOOKUP(P294, DanhSachCodeId, 3, FALSE))</f>
      </c>
    </row>
    <row r="295">
      <c r="A295" s="0">
        <f>IF(B295="", "", VLOOKUP(B295, DanhSachCodeId, 3, FALSE))</f>
      </c>
      <c r="C295" s="0">
        <f>IF(B295="", "", VLOOKUP(B295, DanhSachNhanVien, 2, FALSE))</f>
      </c>
      <c r="Q295" s="0">
        <f>IF(P295="", "", VLOOKUP(P295, DanhSachNhanVien, 2, FALSE))</f>
      </c>
      <c r="Z295" s="0">
        <f>IF(D295="", "", VLOOKUP(D295, DanhSachLoaiQuyetDinhRange, 2, FALSE))</f>
      </c>
      <c r="AA295" s="0">
        <f>IF(I295="", "", VLOOKUP(I295, DanhSachPhongBanRange, 2, FALSE))</f>
      </c>
      <c r="AB295" s="0">
        <f>IF(J295="", "", VLOOKUP(J295, DanhSachChucDanhRange, 2, FALSE))</f>
      </c>
      <c r="AC295" s="0">
        <f>IF(L295="", "", VLOOKUP(L295, ThangLuongData, 2, FALSE))</f>
      </c>
      <c r="AD295" s="0">
        <f>IF(M295="", "", VLOOKUP(M295, NgachLuongData, 2, FALSE))</f>
      </c>
      <c r="AE295" s="0">
        <f>IF(N295="", "", VLOOKUP(N295, BacLuongData, 2, FALSE))</f>
      </c>
      <c r="AF295" s="0">
        <f>IF(P295="", "", VLOOKUP(P295, DanhSachCodeId, 3, FALSE))</f>
      </c>
    </row>
    <row r="296">
      <c r="A296" s="0">
        <f>IF(B296="", "", VLOOKUP(B296, DanhSachCodeId, 3, FALSE))</f>
      </c>
      <c r="C296" s="0">
        <f>IF(B296="", "", VLOOKUP(B296, DanhSachNhanVien, 2, FALSE))</f>
      </c>
      <c r="Q296" s="0">
        <f>IF(P296="", "", VLOOKUP(P296, DanhSachNhanVien, 2, FALSE))</f>
      </c>
      <c r="Z296" s="0">
        <f>IF(D296="", "", VLOOKUP(D296, DanhSachLoaiQuyetDinhRange, 2, FALSE))</f>
      </c>
      <c r="AA296" s="0">
        <f>IF(I296="", "", VLOOKUP(I296, DanhSachPhongBanRange, 2, FALSE))</f>
      </c>
      <c r="AB296" s="0">
        <f>IF(J296="", "", VLOOKUP(J296, DanhSachChucDanhRange, 2, FALSE))</f>
      </c>
      <c r="AC296" s="0">
        <f>IF(L296="", "", VLOOKUP(L296, ThangLuongData, 2, FALSE))</f>
      </c>
      <c r="AD296" s="0">
        <f>IF(M296="", "", VLOOKUP(M296, NgachLuongData, 2, FALSE))</f>
      </c>
      <c r="AE296" s="0">
        <f>IF(N296="", "", VLOOKUP(N296, BacLuongData, 2, FALSE))</f>
      </c>
      <c r="AF296" s="0">
        <f>IF(P296="", "", VLOOKUP(P296, DanhSachCodeId, 3, FALSE))</f>
      </c>
    </row>
    <row r="297">
      <c r="A297" s="0">
        <f>IF(B297="", "", VLOOKUP(B297, DanhSachCodeId, 3, FALSE))</f>
      </c>
      <c r="C297" s="0">
        <f>IF(B297="", "", VLOOKUP(B297, DanhSachNhanVien, 2, FALSE))</f>
      </c>
      <c r="Q297" s="0">
        <f>IF(P297="", "", VLOOKUP(P297, DanhSachNhanVien, 2, FALSE))</f>
      </c>
      <c r="Z297" s="0">
        <f>IF(D297="", "", VLOOKUP(D297, DanhSachLoaiQuyetDinhRange, 2, FALSE))</f>
      </c>
      <c r="AA297" s="0">
        <f>IF(I297="", "", VLOOKUP(I297, DanhSachPhongBanRange, 2, FALSE))</f>
      </c>
      <c r="AB297" s="0">
        <f>IF(J297="", "", VLOOKUP(J297, DanhSachChucDanhRange, 2, FALSE))</f>
      </c>
      <c r="AC297" s="0">
        <f>IF(L297="", "", VLOOKUP(L297, ThangLuongData, 2, FALSE))</f>
      </c>
      <c r="AD297" s="0">
        <f>IF(M297="", "", VLOOKUP(M297, NgachLuongData, 2, FALSE))</f>
      </c>
      <c r="AE297" s="0">
        <f>IF(N297="", "", VLOOKUP(N297, BacLuongData, 2, FALSE))</f>
      </c>
      <c r="AF297" s="0">
        <f>IF(P297="", "", VLOOKUP(P297, DanhSachCodeId, 3, FALSE))</f>
      </c>
    </row>
    <row r="298">
      <c r="A298" s="0">
        <f>IF(B298="", "", VLOOKUP(B298, DanhSachCodeId, 3, FALSE))</f>
      </c>
      <c r="C298" s="0">
        <f>IF(B298="", "", VLOOKUP(B298, DanhSachNhanVien, 2, FALSE))</f>
      </c>
      <c r="Q298" s="0">
        <f>IF(P298="", "", VLOOKUP(P298, DanhSachNhanVien, 2, FALSE))</f>
      </c>
      <c r="Z298" s="0">
        <f>IF(D298="", "", VLOOKUP(D298, DanhSachLoaiQuyetDinhRange, 2, FALSE))</f>
      </c>
      <c r="AA298" s="0">
        <f>IF(I298="", "", VLOOKUP(I298, DanhSachPhongBanRange, 2, FALSE))</f>
      </c>
      <c r="AB298" s="0">
        <f>IF(J298="", "", VLOOKUP(J298, DanhSachChucDanhRange, 2, FALSE))</f>
      </c>
      <c r="AC298" s="0">
        <f>IF(L298="", "", VLOOKUP(L298, ThangLuongData, 2, FALSE))</f>
      </c>
      <c r="AD298" s="0">
        <f>IF(M298="", "", VLOOKUP(M298, NgachLuongData, 2, FALSE))</f>
      </c>
      <c r="AE298" s="0">
        <f>IF(N298="", "", VLOOKUP(N298, BacLuongData, 2, FALSE))</f>
      </c>
      <c r="AF298" s="0">
        <f>IF(P298="", "", VLOOKUP(P298, DanhSachCodeId, 3, FALSE))</f>
      </c>
    </row>
    <row r="299">
      <c r="A299" s="0">
        <f>IF(B299="", "", VLOOKUP(B299, DanhSachCodeId, 3, FALSE))</f>
      </c>
      <c r="C299" s="0">
        <f>IF(B299="", "", VLOOKUP(B299, DanhSachNhanVien, 2, FALSE))</f>
      </c>
      <c r="Q299" s="0">
        <f>IF(P299="", "", VLOOKUP(P299, DanhSachNhanVien, 2, FALSE))</f>
      </c>
      <c r="Z299" s="0">
        <f>IF(D299="", "", VLOOKUP(D299, DanhSachLoaiQuyetDinhRange, 2, FALSE))</f>
      </c>
      <c r="AA299" s="0">
        <f>IF(I299="", "", VLOOKUP(I299, DanhSachPhongBanRange, 2, FALSE))</f>
      </c>
      <c r="AB299" s="0">
        <f>IF(J299="", "", VLOOKUP(J299, DanhSachChucDanhRange, 2, FALSE))</f>
      </c>
      <c r="AC299" s="0">
        <f>IF(L299="", "", VLOOKUP(L299, ThangLuongData, 2, FALSE))</f>
      </c>
      <c r="AD299" s="0">
        <f>IF(M299="", "", VLOOKUP(M299, NgachLuongData, 2, FALSE))</f>
      </c>
      <c r="AE299" s="0">
        <f>IF(N299="", "", VLOOKUP(N299, BacLuongData, 2, FALSE))</f>
      </c>
      <c r="AF299" s="0">
        <f>IF(P299="", "", VLOOKUP(P299, DanhSachCodeId, 3, FALSE))</f>
      </c>
    </row>
    <row r="300">
      <c r="A300" s="0">
        <f>IF(B300="", "", VLOOKUP(B300, DanhSachCodeId, 3, FALSE))</f>
      </c>
      <c r="C300" s="0">
        <f>IF(B300="", "", VLOOKUP(B300, DanhSachNhanVien, 2, FALSE))</f>
      </c>
      <c r="Q300" s="0">
        <f>IF(P300="", "", VLOOKUP(P300, DanhSachNhanVien, 2, FALSE))</f>
      </c>
      <c r="Z300" s="0">
        <f>IF(D300="", "", VLOOKUP(D300, DanhSachLoaiQuyetDinhRange, 2, FALSE))</f>
      </c>
      <c r="AA300" s="0">
        <f>IF(I300="", "", VLOOKUP(I300, DanhSachPhongBanRange, 2, FALSE))</f>
      </c>
      <c r="AB300" s="0">
        <f>IF(J300="", "", VLOOKUP(J300, DanhSachChucDanhRange, 2, FALSE))</f>
      </c>
      <c r="AC300" s="0">
        <f>IF(L300="", "", VLOOKUP(L300, ThangLuongData, 2, FALSE))</f>
      </c>
      <c r="AD300" s="0">
        <f>IF(M300="", "", VLOOKUP(M300, NgachLuongData, 2, FALSE))</f>
      </c>
      <c r="AE300" s="0">
        <f>IF(N300="", "", VLOOKUP(N300, BacLuongData, 2, FALSE))</f>
      </c>
      <c r="AF300" s="0">
        <f>IF(P300="", "", VLOOKUP(P300, DanhSachCodeId, 3, FALSE))</f>
      </c>
    </row>
    <row r="301">
      <c r="A301" s="0">
        <f>IF(B301="", "", VLOOKUP(B301, DanhSachCodeId, 3, FALSE))</f>
      </c>
      <c r="C301" s="0">
        <f>IF(B301="", "", VLOOKUP(B301, DanhSachNhanVien, 2, FALSE))</f>
      </c>
      <c r="Q301" s="0">
        <f>IF(P301="", "", VLOOKUP(P301, DanhSachNhanVien, 2, FALSE))</f>
      </c>
      <c r="Z301" s="0">
        <f>IF(D301="", "", VLOOKUP(D301, DanhSachLoaiQuyetDinhRange, 2, FALSE))</f>
      </c>
      <c r="AA301" s="0">
        <f>IF(I301="", "", VLOOKUP(I301, DanhSachPhongBanRange, 2, FALSE))</f>
      </c>
      <c r="AB301" s="0">
        <f>IF(J301="", "", VLOOKUP(J301, DanhSachChucDanhRange, 2, FALSE))</f>
      </c>
      <c r="AC301" s="0">
        <f>IF(L301="", "", VLOOKUP(L301, ThangLuongData, 2, FALSE))</f>
      </c>
      <c r="AD301" s="0">
        <f>IF(M301="", "", VLOOKUP(M301, NgachLuongData, 2, FALSE))</f>
      </c>
      <c r="AE301" s="0">
        <f>IF(N301="", "", VLOOKUP(N301, BacLuongData, 2, FALSE))</f>
      </c>
      <c r="AF301" s="0">
        <f>IF(P301="", "", VLOOKUP(P301, DanhSachCodeId, 3, FALSE))</f>
      </c>
    </row>
    <row r="302">
      <c r="A302" s="0">
        <f>IF(B302="", "", VLOOKUP(B302, DanhSachCodeId, 3, FALSE))</f>
      </c>
      <c r="C302" s="0">
        <f>IF(B302="", "", VLOOKUP(B302, DanhSachNhanVien, 2, FALSE))</f>
      </c>
      <c r="Q302" s="0">
        <f>IF(P302="", "", VLOOKUP(P302, DanhSachNhanVien, 2, FALSE))</f>
      </c>
      <c r="Z302" s="0">
        <f>IF(D302="", "", VLOOKUP(D302, DanhSachLoaiQuyetDinhRange, 2, FALSE))</f>
      </c>
      <c r="AA302" s="0">
        <f>IF(I302="", "", VLOOKUP(I302, DanhSachPhongBanRange, 2, FALSE))</f>
      </c>
      <c r="AB302" s="0">
        <f>IF(J302="", "", VLOOKUP(J302, DanhSachChucDanhRange, 2, FALSE))</f>
      </c>
      <c r="AC302" s="0">
        <f>IF(L302="", "", VLOOKUP(L302, ThangLuongData, 2, FALSE))</f>
      </c>
      <c r="AD302" s="0">
        <f>IF(M302="", "", VLOOKUP(M302, NgachLuongData, 2, FALSE))</f>
      </c>
      <c r="AE302" s="0">
        <f>IF(N302="", "", VLOOKUP(N302, BacLuongData, 2, FALSE))</f>
      </c>
      <c r="AF302" s="0">
        <f>IF(P302="", "", VLOOKUP(P302, DanhSachCodeId, 3, FALSE))</f>
      </c>
    </row>
    <row r="303">
      <c r="A303" s="0">
        <f>IF(B303="", "", VLOOKUP(B303, DanhSachCodeId, 3, FALSE))</f>
      </c>
      <c r="C303" s="0">
        <f>IF(B303="", "", VLOOKUP(B303, DanhSachNhanVien, 2, FALSE))</f>
      </c>
      <c r="Q303" s="0">
        <f>IF(P303="", "", VLOOKUP(P303, DanhSachNhanVien, 2, FALSE))</f>
      </c>
      <c r="Z303" s="0">
        <f>IF(D303="", "", VLOOKUP(D303, DanhSachLoaiQuyetDinhRange, 2, FALSE))</f>
      </c>
      <c r="AA303" s="0">
        <f>IF(I303="", "", VLOOKUP(I303, DanhSachPhongBanRange, 2, FALSE))</f>
      </c>
      <c r="AB303" s="0">
        <f>IF(J303="", "", VLOOKUP(J303, DanhSachChucDanhRange, 2, FALSE))</f>
      </c>
      <c r="AC303" s="0">
        <f>IF(L303="", "", VLOOKUP(L303, ThangLuongData, 2, FALSE))</f>
      </c>
      <c r="AD303" s="0">
        <f>IF(M303="", "", VLOOKUP(M303, NgachLuongData, 2, FALSE))</f>
      </c>
      <c r="AE303" s="0">
        <f>IF(N303="", "", VLOOKUP(N303, BacLuongData, 2, FALSE))</f>
      </c>
      <c r="AF303" s="0">
        <f>IF(P303="", "", VLOOKUP(P303, DanhSachCodeId, 3, FALSE))</f>
      </c>
    </row>
    <row r="304">
      <c r="A304" s="0">
        <f>IF(B304="", "", VLOOKUP(B304, DanhSachCodeId, 3, FALSE))</f>
      </c>
      <c r="C304" s="0">
        <f>IF(B304="", "", VLOOKUP(B304, DanhSachNhanVien, 2, FALSE))</f>
      </c>
      <c r="Q304" s="0">
        <f>IF(P304="", "", VLOOKUP(P304, DanhSachNhanVien, 2, FALSE))</f>
      </c>
      <c r="Z304" s="0">
        <f>IF(D304="", "", VLOOKUP(D304, DanhSachLoaiQuyetDinhRange, 2, FALSE))</f>
      </c>
      <c r="AA304" s="0">
        <f>IF(I304="", "", VLOOKUP(I304, DanhSachPhongBanRange, 2, FALSE))</f>
      </c>
      <c r="AB304" s="0">
        <f>IF(J304="", "", VLOOKUP(J304, DanhSachChucDanhRange, 2, FALSE))</f>
      </c>
      <c r="AC304" s="0">
        <f>IF(L304="", "", VLOOKUP(L304, ThangLuongData, 2, FALSE))</f>
      </c>
      <c r="AD304" s="0">
        <f>IF(M304="", "", VLOOKUP(M304, NgachLuongData, 2, FALSE))</f>
      </c>
      <c r="AE304" s="0">
        <f>IF(N304="", "", VLOOKUP(N304, BacLuongData, 2, FALSE))</f>
      </c>
      <c r="AF304" s="0">
        <f>IF(P304="", "", VLOOKUP(P304, DanhSachCodeId, 3, FALSE))</f>
      </c>
    </row>
    <row r="305">
      <c r="A305" s="0">
        <f>IF(B305="", "", VLOOKUP(B305, DanhSachCodeId, 3, FALSE))</f>
      </c>
      <c r="C305" s="0">
        <f>IF(B305="", "", VLOOKUP(B305, DanhSachNhanVien, 2, FALSE))</f>
      </c>
      <c r="Q305" s="0">
        <f>IF(P305="", "", VLOOKUP(P305, DanhSachNhanVien, 2, FALSE))</f>
      </c>
      <c r="Z305" s="0">
        <f>IF(D305="", "", VLOOKUP(D305, DanhSachLoaiQuyetDinhRange, 2, FALSE))</f>
      </c>
      <c r="AA305" s="0">
        <f>IF(I305="", "", VLOOKUP(I305, DanhSachPhongBanRange, 2, FALSE))</f>
      </c>
      <c r="AB305" s="0">
        <f>IF(J305="", "", VLOOKUP(J305, DanhSachChucDanhRange, 2, FALSE))</f>
      </c>
      <c r="AC305" s="0">
        <f>IF(L305="", "", VLOOKUP(L305, ThangLuongData, 2, FALSE))</f>
      </c>
      <c r="AD305" s="0">
        <f>IF(M305="", "", VLOOKUP(M305, NgachLuongData, 2, FALSE))</f>
      </c>
      <c r="AE305" s="0">
        <f>IF(N305="", "", VLOOKUP(N305, BacLuongData, 2, FALSE))</f>
      </c>
      <c r="AF305" s="0">
        <f>IF(P305="", "", VLOOKUP(P305, DanhSachCodeId, 3, FALSE))</f>
      </c>
    </row>
    <row r="306">
      <c r="A306" s="0">
        <f>IF(B306="", "", VLOOKUP(B306, DanhSachCodeId, 3, FALSE))</f>
      </c>
      <c r="C306" s="0">
        <f>IF(B306="", "", VLOOKUP(B306, DanhSachNhanVien, 2, FALSE))</f>
      </c>
      <c r="Q306" s="0">
        <f>IF(P306="", "", VLOOKUP(P306, DanhSachNhanVien, 2, FALSE))</f>
      </c>
      <c r="Z306" s="0">
        <f>IF(D306="", "", VLOOKUP(D306, DanhSachLoaiQuyetDinhRange, 2, FALSE))</f>
      </c>
      <c r="AA306" s="0">
        <f>IF(I306="", "", VLOOKUP(I306, DanhSachPhongBanRange, 2, FALSE))</f>
      </c>
      <c r="AB306" s="0">
        <f>IF(J306="", "", VLOOKUP(J306, DanhSachChucDanhRange, 2, FALSE))</f>
      </c>
      <c r="AC306" s="0">
        <f>IF(L306="", "", VLOOKUP(L306, ThangLuongData, 2, FALSE))</f>
      </c>
      <c r="AD306" s="0">
        <f>IF(M306="", "", VLOOKUP(M306, NgachLuongData, 2, FALSE))</f>
      </c>
      <c r="AE306" s="0">
        <f>IF(N306="", "", VLOOKUP(N306, BacLuongData, 2, FALSE))</f>
      </c>
      <c r="AF306" s="0">
        <f>IF(P306="", "", VLOOKUP(P306, DanhSachCodeId, 3, FALSE))</f>
      </c>
    </row>
    <row r="307">
      <c r="A307" s="0">
        <f>IF(B307="", "", VLOOKUP(B307, DanhSachCodeId, 3, FALSE))</f>
      </c>
      <c r="C307" s="0">
        <f>IF(B307="", "", VLOOKUP(B307, DanhSachNhanVien, 2, FALSE))</f>
      </c>
      <c r="Q307" s="0">
        <f>IF(P307="", "", VLOOKUP(P307, DanhSachNhanVien, 2, FALSE))</f>
      </c>
      <c r="Z307" s="0">
        <f>IF(D307="", "", VLOOKUP(D307, DanhSachLoaiQuyetDinhRange, 2, FALSE))</f>
      </c>
      <c r="AA307" s="0">
        <f>IF(I307="", "", VLOOKUP(I307, DanhSachPhongBanRange, 2, FALSE))</f>
      </c>
      <c r="AB307" s="0">
        <f>IF(J307="", "", VLOOKUP(J307, DanhSachChucDanhRange, 2, FALSE))</f>
      </c>
      <c r="AC307" s="0">
        <f>IF(L307="", "", VLOOKUP(L307, ThangLuongData, 2, FALSE))</f>
      </c>
      <c r="AD307" s="0">
        <f>IF(M307="", "", VLOOKUP(M307, NgachLuongData, 2, FALSE))</f>
      </c>
      <c r="AE307" s="0">
        <f>IF(N307="", "", VLOOKUP(N307, BacLuongData, 2, FALSE))</f>
      </c>
      <c r="AF307" s="0">
        <f>IF(P307="", "", VLOOKUP(P307, DanhSachCodeId, 3, FALSE))</f>
      </c>
    </row>
    <row r="308">
      <c r="A308" s="0">
        <f>IF(B308="", "", VLOOKUP(B308, DanhSachCodeId, 3, FALSE))</f>
      </c>
      <c r="C308" s="0">
        <f>IF(B308="", "", VLOOKUP(B308, DanhSachNhanVien, 2, FALSE))</f>
      </c>
      <c r="Q308" s="0">
        <f>IF(P308="", "", VLOOKUP(P308, DanhSachNhanVien, 2, FALSE))</f>
      </c>
      <c r="Z308" s="0">
        <f>IF(D308="", "", VLOOKUP(D308, DanhSachLoaiQuyetDinhRange, 2, FALSE))</f>
      </c>
      <c r="AA308" s="0">
        <f>IF(I308="", "", VLOOKUP(I308, DanhSachPhongBanRange, 2, FALSE))</f>
      </c>
      <c r="AB308" s="0">
        <f>IF(J308="", "", VLOOKUP(J308, DanhSachChucDanhRange, 2, FALSE))</f>
      </c>
      <c r="AC308" s="0">
        <f>IF(L308="", "", VLOOKUP(L308, ThangLuongData, 2, FALSE))</f>
      </c>
      <c r="AD308" s="0">
        <f>IF(M308="", "", VLOOKUP(M308, NgachLuongData, 2, FALSE))</f>
      </c>
      <c r="AE308" s="0">
        <f>IF(N308="", "", VLOOKUP(N308, BacLuongData, 2, FALSE))</f>
      </c>
      <c r="AF308" s="0">
        <f>IF(P308="", "", VLOOKUP(P308, DanhSachCodeId, 3, FALSE))</f>
      </c>
    </row>
    <row r="309">
      <c r="A309" s="0">
        <f>IF(B309="", "", VLOOKUP(B309, DanhSachCodeId, 3, FALSE))</f>
      </c>
      <c r="C309" s="0">
        <f>IF(B309="", "", VLOOKUP(B309, DanhSachNhanVien, 2, FALSE))</f>
      </c>
      <c r="Q309" s="0">
        <f>IF(P309="", "", VLOOKUP(P309, DanhSachNhanVien, 2, FALSE))</f>
      </c>
      <c r="Z309" s="0">
        <f>IF(D309="", "", VLOOKUP(D309, DanhSachLoaiQuyetDinhRange, 2, FALSE))</f>
      </c>
      <c r="AA309" s="0">
        <f>IF(I309="", "", VLOOKUP(I309, DanhSachPhongBanRange, 2, FALSE))</f>
      </c>
      <c r="AB309" s="0">
        <f>IF(J309="", "", VLOOKUP(J309, DanhSachChucDanhRange, 2, FALSE))</f>
      </c>
      <c r="AC309" s="0">
        <f>IF(L309="", "", VLOOKUP(L309, ThangLuongData, 2, FALSE))</f>
      </c>
      <c r="AD309" s="0">
        <f>IF(M309="", "", VLOOKUP(M309, NgachLuongData, 2, FALSE))</f>
      </c>
      <c r="AE309" s="0">
        <f>IF(N309="", "", VLOOKUP(N309, BacLuongData, 2, FALSE))</f>
      </c>
      <c r="AF309" s="0">
        <f>IF(P309="", "", VLOOKUP(P309, DanhSachCodeId, 3, FALSE))</f>
      </c>
    </row>
    <row r="310">
      <c r="A310" s="0">
        <f>IF(B310="", "", VLOOKUP(B310, DanhSachCodeId, 3, FALSE))</f>
      </c>
      <c r="C310" s="0">
        <f>IF(B310="", "", VLOOKUP(B310, DanhSachNhanVien, 2, FALSE))</f>
      </c>
      <c r="Q310" s="0">
        <f>IF(P310="", "", VLOOKUP(P310, DanhSachNhanVien, 2, FALSE))</f>
      </c>
      <c r="Z310" s="0">
        <f>IF(D310="", "", VLOOKUP(D310, DanhSachLoaiQuyetDinhRange, 2, FALSE))</f>
      </c>
      <c r="AA310" s="0">
        <f>IF(I310="", "", VLOOKUP(I310, DanhSachPhongBanRange, 2, FALSE))</f>
      </c>
      <c r="AB310" s="0">
        <f>IF(J310="", "", VLOOKUP(J310, DanhSachChucDanhRange, 2, FALSE))</f>
      </c>
      <c r="AC310" s="0">
        <f>IF(L310="", "", VLOOKUP(L310, ThangLuongData, 2, FALSE))</f>
      </c>
      <c r="AD310" s="0">
        <f>IF(M310="", "", VLOOKUP(M310, NgachLuongData, 2, FALSE))</f>
      </c>
      <c r="AE310" s="0">
        <f>IF(N310="", "", VLOOKUP(N310, BacLuongData, 2, FALSE))</f>
      </c>
      <c r="AF310" s="0">
        <f>IF(P310="", "", VLOOKUP(P310, DanhSachCodeId, 3, FALSE))</f>
      </c>
    </row>
    <row r="311">
      <c r="A311" s="0">
        <f>IF(B311="", "", VLOOKUP(B311, DanhSachCodeId, 3, FALSE))</f>
      </c>
      <c r="C311" s="0">
        <f>IF(B311="", "", VLOOKUP(B311, DanhSachNhanVien, 2, FALSE))</f>
      </c>
      <c r="Q311" s="0">
        <f>IF(P311="", "", VLOOKUP(P311, DanhSachNhanVien, 2, FALSE))</f>
      </c>
      <c r="Z311" s="0">
        <f>IF(D311="", "", VLOOKUP(D311, DanhSachLoaiQuyetDinhRange, 2, FALSE))</f>
      </c>
      <c r="AA311" s="0">
        <f>IF(I311="", "", VLOOKUP(I311, DanhSachPhongBanRange, 2, FALSE))</f>
      </c>
      <c r="AB311" s="0">
        <f>IF(J311="", "", VLOOKUP(J311, DanhSachChucDanhRange, 2, FALSE))</f>
      </c>
      <c r="AC311" s="0">
        <f>IF(L311="", "", VLOOKUP(L311, ThangLuongData, 2, FALSE))</f>
      </c>
      <c r="AD311" s="0">
        <f>IF(M311="", "", VLOOKUP(M311, NgachLuongData, 2, FALSE))</f>
      </c>
      <c r="AE311" s="0">
        <f>IF(N311="", "", VLOOKUP(N311, BacLuongData, 2, FALSE))</f>
      </c>
      <c r="AF311" s="0">
        <f>IF(P311="", "", VLOOKUP(P311, DanhSachCodeId, 3, FALSE))</f>
      </c>
    </row>
    <row r="312">
      <c r="A312" s="0">
        <f>IF(B312="", "", VLOOKUP(B312, DanhSachCodeId, 3, FALSE))</f>
      </c>
      <c r="C312" s="0">
        <f>IF(B312="", "", VLOOKUP(B312, DanhSachNhanVien, 2, FALSE))</f>
      </c>
      <c r="Q312" s="0">
        <f>IF(P312="", "", VLOOKUP(P312, DanhSachNhanVien, 2, FALSE))</f>
      </c>
      <c r="Z312" s="0">
        <f>IF(D312="", "", VLOOKUP(D312, DanhSachLoaiQuyetDinhRange, 2, FALSE))</f>
      </c>
      <c r="AA312" s="0">
        <f>IF(I312="", "", VLOOKUP(I312, DanhSachPhongBanRange, 2, FALSE))</f>
      </c>
      <c r="AB312" s="0">
        <f>IF(J312="", "", VLOOKUP(J312, DanhSachChucDanhRange, 2, FALSE))</f>
      </c>
      <c r="AC312" s="0">
        <f>IF(L312="", "", VLOOKUP(L312, ThangLuongData, 2, FALSE))</f>
      </c>
      <c r="AD312" s="0">
        <f>IF(M312="", "", VLOOKUP(M312, NgachLuongData, 2, FALSE))</f>
      </c>
      <c r="AE312" s="0">
        <f>IF(N312="", "", VLOOKUP(N312, BacLuongData, 2, FALSE))</f>
      </c>
      <c r="AF312" s="0">
        <f>IF(P312="", "", VLOOKUP(P312, DanhSachCodeId, 3, FALSE))</f>
      </c>
    </row>
    <row r="313">
      <c r="A313" s="0">
        <f>IF(B313="", "", VLOOKUP(B313, DanhSachCodeId, 3, FALSE))</f>
      </c>
      <c r="C313" s="0">
        <f>IF(B313="", "", VLOOKUP(B313, DanhSachNhanVien, 2, FALSE))</f>
      </c>
      <c r="Q313" s="0">
        <f>IF(P313="", "", VLOOKUP(P313, DanhSachNhanVien, 2, FALSE))</f>
      </c>
      <c r="Z313" s="0">
        <f>IF(D313="", "", VLOOKUP(D313, DanhSachLoaiQuyetDinhRange, 2, FALSE))</f>
      </c>
      <c r="AA313" s="0">
        <f>IF(I313="", "", VLOOKUP(I313, DanhSachPhongBanRange, 2, FALSE))</f>
      </c>
      <c r="AB313" s="0">
        <f>IF(J313="", "", VLOOKUP(J313, DanhSachChucDanhRange, 2, FALSE))</f>
      </c>
      <c r="AC313" s="0">
        <f>IF(L313="", "", VLOOKUP(L313, ThangLuongData, 2, FALSE))</f>
      </c>
      <c r="AD313" s="0">
        <f>IF(M313="", "", VLOOKUP(M313, NgachLuongData, 2, FALSE))</f>
      </c>
      <c r="AE313" s="0">
        <f>IF(N313="", "", VLOOKUP(N313, BacLuongData, 2, FALSE))</f>
      </c>
      <c r="AF313" s="0">
        <f>IF(P313="", "", VLOOKUP(P313, DanhSachCodeId, 3, FALSE))</f>
      </c>
    </row>
    <row r="314">
      <c r="A314" s="0">
        <f>IF(B314="", "", VLOOKUP(B314, DanhSachCodeId, 3, FALSE))</f>
      </c>
      <c r="C314" s="0">
        <f>IF(B314="", "", VLOOKUP(B314, DanhSachNhanVien, 2, FALSE))</f>
      </c>
      <c r="Q314" s="0">
        <f>IF(P314="", "", VLOOKUP(P314, DanhSachNhanVien, 2, FALSE))</f>
      </c>
      <c r="Z314" s="0">
        <f>IF(D314="", "", VLOOKUP(D314, DanhSachLoaiQuyetDinhRange, 2, FALSE))</f>
      </c>
      <c r="AA314" s="0">
        <f>IF(I314="", "", VLOOKUP(I314, DanhSachPhongBanRange, 2, FALSE))</f>
      </c>
      <c r="AB314" s="0">
        <f>IF(J314="", "", VLOOKUP(J314, DanhSachChucDanhRange, 2, FALSE))</f>
      </c>
      <c r="AC314" s="0">
        <f>IF(L314="", "", VLOOKUP(L314, ThangLuongData, 2, FALSE))</f>
      </c>
      <c r="AD314" s="0">
        <f>IF(M314="", "", VLOOKUP(M314, NgachLuongData, 2, FALSE))</f>
      </c>
      <c r="AE314" s="0">
        <f>IF(N314="", "", VLOOKUP(N314, BacLuongData, 2, FALSE))</f>
      </c>
      <c r="AF314" s="0">
        <f>IF(P314="", "", VLOOKUP(P314, DanhSachCodeId, 3, FALSE))</f>
      </c>
    </row>
    <row r="315">
      <c r="A315" s="0">
        <f>IF(B315="", "", VLOOKUP(B315, DanhSachCodeId, 3, FALSE))</f>
      </c>
      <c r="C315" s="0">
        <f>IF(B315="", "", VLOOKUP(B315, DanhSachNhanVien, 2, FALSE))</f>
      </c>
      <c r="Q315" s="0">
        <f>IF(P315="", "", VLOOKUP(P315, DanhSachNhanVien, 2, FALSE))</f>
      </c>
      <c r="Z315" s="0">
        <f>IF(D315="", "", VLOOKUP(D315, DanhSachLoaiQuyetDinhRange, 2, FALSE))</f>
      </c>
      <c r="AA315" s="0">
        <f>IF(I315="", "", VLOOKUP(I315, DanhSachPhongBanRange, 2, FALSE))</f>
      </c>
      <c r="AB315" s="0">
        <f>IF(J315="", "", VLOOKUP(J315, DanhSachChucDanhRange, 2, FALSE))</f>
      </c>
      <c r="AC315" s="0">
        <f>IF(L315="", "", VLOOKUP(L315, ThangLuongData, 2, FALSE))</f>
      </c>
      <c r="AD315" s="0">
        <f>IF(M315="", "", VLOOKUP(M315, NgachLuongData, 2, FALSE))</f>
      </c>
      <c r="AE315" s="0">
        <f>IF(N315="", "", VLOOKUP(N315, BacLuongData, 2, FALSE))</f>
      </c>
      <c r="AF315" s="0">
        <f>IF(P315="", "", VLOOKUP(P315, DanhSachCodeId, 3, FALSE))</f>
      </c>
    </row>
    <row r="316">
      <c r="A316" s="0">
        <f>IF(B316="", "", VLOOKUP(B316, DanhSachCodeId, 3, FALSE))</f>
      </c>
      <c r="C316" s="0">
        <f>IF(B316="", "", VLOOKUP(B316, DanhSachNhanVien, 2, FALSE))</f>
      </c>
      <c r="Q316" s="0">
        <f>IF(P316="", "", VLOOKUP(P316, DanhSachNhanVien, 2, FALSE))</f>
      </c>
      <c r="Z316" s="0">
        <f>IF(D316="", "", VLOOKUP(D316, DanhSachLoaiQuyetDinhRange, 2, FALSE))</f>
      </c>
      <c r="AA316" s="0">
        <f>IF(I316="", "", VLOOKUP(I316, DanhSachPhongBanRange, 2, FALSE))</f>
      </c>
      <c r="AB316" s="0">
        <f>IF(J316="", "", VLOOKUP(J316, DanhSachChucDanhRange, 2, FALSE))</f>
      </c>
      <c r="AC316" s="0">
        <f>IF(L316="", "", VLOOKUP(L316, ThangLuongData, 2, FALSE))</f>
      </c>
      <c r="AD316" s="0">
        <f>IF(M316="", "", VLOOKUP(M316, NgachLuongData, 2, FALSE))</f>
      </c>
      <c r="AE316" s="0">
        <f>IF(N316="", "", VLOOKUP(N316, BacLuongData, 2, FALSE))</f>
      </c>
      <c r="AF316" s="0">
        <f>IF(P316="", "", VLOOKUP(P316, DanhSachCodeId, 3, FALSE))</f>
      </c>
    </row>
    <row r="317">
      <c r="A317" s="0">
        <f>IF(B317="", "", VLOOKUP(B317, DanhSachCodeId, 3, FALSE))</f>
      </c>
      <c r="C317" s="0">
        <f>IF(B317="", "", VLOOKUP(B317, DanhSachNhanVien, 2, FALSE))</f>
      </c>
      <c r="Q317" s="0">
        <f>IF(P317="", "", VLOOKUP(P317, DanhSachNhanVien, 2, FALSE))</f>
      </c>
      <c r="Z317" s="0">
        <f>IF(D317="", "", VLOOKUP(D317, DanhSachLoaiQuyetDinhRange, 2, FALSE))</f>
      </c>
      <c r="AA317" s="0">
        <f>IF(I317="", "", VLOOKUP(I317, DanhSachPhongBanRange, 2, FALSE))</f>
      </c>
      <c r="AB317" s="0">
        <f>IF(J317="", "", VLOOKUP(J317, DanhSachChucDanhRange, 2, FALSE))</f>
      </c>
      <c r="AC317" s="0">
        <f>IF(L317="", "", VLOOKUP(L317, ThangLuongData, 2, FALSE))</f>
      </c>
      <c r="AD317" s="0">
        <f>IF(M317="", "", VLOOKUP(M317, NgachLuongData, 2, FALSE))</f>
      </c>
      <c r="AE317" s="0">
        <f>IF(N317="", "", VLOOKUP(N317, BacLuongData, 2, FALSE))</f>
      </c>
      <c r="AF317" s="0">
        <f>IF(P317="", "", VLOOKUP(P317, DanhSachCodeId, 3, FALSE))</f>
      </c>
    </row>
    <row r="318">
      <c r="A318" s="0">
        <f>IF(B318="", "", VLOOKUP(B318, DanhSachCodeId, 3, FALSE))</f>
      </c>
      <c r="C318" s="0">
        <f>IF(B318="", "", VLOOKUP(B318, DanhSachNhanVien, 2, FALSE))</f>
      </c>
      <c r="Q318" s="0">
        <f>IF(P318="", "", VLOOKUP(P318, DanhSachNhanVien, 2, FALSE))</f>
      </c>
      <c r="Z318" s="0">
        <f>IF(D318="", "", VLOOKUP(D318, DanhSachLoaiQuyetDinhRange, 2, FALSE))</f>
      </c>
      <c r="AA318" s="0">
        <f>IF(I318="", "", VLOOKUP(I318, DanhSachPhongBanRange, 2, FALSE))</f>
      </c>
      <c r="AB318" s="0">
        <f>IF(J318="", "", VLOOKUP(J318, DanhSachChucDanhRange, 2, FALSE))</f>
      </c>
      <c r="AC318" s="0">
        <f>IF(L318="", "", VLOOKUP(L318, ThangLuongData, 2, FALSE))</f>
      </c>
      <c r="AD318" s="0">
        <f>IF(M318="", "", VLOOKUP(M318, NgachLuongData, 2, FALSE))</f>
      </c>
      <c r="AE318" s="0">
        <f>IF(N318="", "", VLOOKUP(N318, BacLuongData, 2, FALSE))</f>
      </c>
      <c r="AF318" s="0">
        <f>IF(P318="", "", VLOOKUP(P318, DanhSachCodeId, 3, FALSE))</f>
      </c>
    </row>
    <row r="319">
      <c r="A319" s="0">
        <f>IF(B319="", "", VLOOKUP(B319, DanhSachCodeId, 3, FALSE))</f>
      </c>
      <c r="C319" s="0">
        <f>IF(B319="", "", VLOOKUP(B319, DanhSachNhanVien, 2, FALSE))</f>
      </c>
      <c r="Q319" s="0">
        <f>IF(P319="", "", VLOOKUP(P319, DanhSachNhanVien, 2, FALSE))</f>
      </c>
      <c r="Z319" s="0">
        <f>IF(D319="", "", VLOOKUP(D319, DanhSachLoaiQuyetDinhRange, 2, FALSE))</f>
      </c>
      <c r="AA319" s="0">
        <f>IF(I319="", "", VLOOKUP(I319, DanhSachPhongBanRange, 2, FALSE))</f>
      </c>
      <c r="AB319" s="0">
        <f>IF(J319="", "", VLOOKUP(J319, DanhSachChucDanhRange, 2, FALSE))</f>
      </c>
      <c r="AC319" s="0">
        <f>IF(L319="", "", VLOOKUP(L319, ThangLuongData, 2, FALSE))</f>
      </c>
      <c r="AD319" s="0">
        <f>IF(M319="", "", VLOOKUP(M319, NgachLuongData, 2, FALSE))</f>
      </c>
      <c r="AE319" s="0">
        <f>IF(N319="", "", VLOOKUP(N319, BacLuongData, 2, FALSE))</f>
      </c>
      <c r="AF319" s="0">
        <f>IF(P319="", "", VLOOKUP(P319, DanhSachCodeId, 3, FALSE))</f>
      </c>
    </row>
    <row r="320">
      <c r="A320" s="0">
        <f>IF(B320="", "", VLOOKUP(B320, DanhSachCodeId, 3, FALSE))</f>
      </c>
      <c r="C320" s="0">
        <f>IF(B320="", "", VLOOKUP(B320, DanhSachNhanVien, 2, FALSE))</f>
      </c>
      <c r="Q320" s="0">
        <f>IF(P320="", "", VLOOKUP(P320, DanhSachNhanVien, 2, FALSE))</f>
      </c>
      <c r="Z320" s="0">
        <f>IF(D320="", "", VLOOKUP(D320, DanhSachLoaiQuyetDinhRange, 2, FALSE))</f>
      </c>
      <c r="AA320" s="0">
        <f>IF(I320="", "", VLOOKUP(I320, DanhSachPhongBanRange, 2, FALSE))</f>
      </c>
      <c r="AB320" s="0">
        <f>IF(J320="", "", VLOOKUP(J320, DanhSachChucDanhRange, 2, FALSE))</f>
      </c>
      <c r="AC320" s="0">
        <f>IF(L320="", "", VLOOKUP(L320, ThangLuongData, 2, FALSE))</f>
      </c>
      <c r="AD320" s="0">
        <f>IF(M320="", "", VLOOKUP(M320, NgachLuongData, 2, FALSE))</f>
      </c>
      <c r="AE320" s="0">
        <f>IF(N320="", "", VLOOKUP(N320, BacLuongData, 2, FALSE))</f>
      </c>
      <c r="AF320" s="0">
        <f>IF(P320="", "", VLOOKUP(P320, DanhSachCodeId, 3, FALSE))</f>
      </c>
    </row>
    <row r="321">
      <c r="A321" s="0">
        <f>IF(B321="", "", VLOOKUP(B321, DanhSachCodeId, 3, FALSE))</f>
      </c>
      <c r="C321" s="0">
        <f>IF(B321="", "", VLOOKUP(B321, DanhSachNhanVien, 2, FALSE))</f>
      </c>
      <c r="Q321" s="0">
        <f>IF(P321="", "", VLOOKUP(P321, DanhSachNhanVien, 2, FALSE))</f>
      </c>
      <c r="Z321" s="0">
        <f>IF(D321="", "", VLOOKUP(D321, DanhSachLoaiQuyetDinhRange, 2, FALSE))</f>
      </c>
      <c r="AA321" s="0">
        <f>IF(I321="", "", VLOOKUP(I321, DanhSachPhongBanRange, 2, FALSE))</f>
      </c>
      <c r="AB321" s="0">
        <f>IF(J321="", "", VLOOKUP(J321, DanhSachChucDanhRange, 2, FALSE))</f>
      </c>
      <c r="AC321" s="0">
        <f>IF(L321="", "", VLOOKUP(L321, ThangLuongData, 2, FALSE))</f>
      </c>
      <c r="AD321" s="0">
        <f>IF(M321="", "", VLOOKUP(M321, NgachLuongData, 2, FALSE))</f>
      </c>
      <c r="AE321" s="0">
        <f>IF(N321="", "", VLOOKUP(N321, BacLuongData, 2, FALSE))</f>
      </c>
      <c r="AF321" s="0">
        <f>IF(P321="", "", VLOOKUP(P321, DanhSachCodeId, 3, FALSE))</f>
      </c>
    </row>
    <row r="322">
      <c r="A322" s="0">
        <f>IF(B322="", "", VLOOKUP(B322, DanhSachCodeId, 3, FALSE))</f>
      </c>
      <c r="C322" s="0">
        <f>IF(B322="", "", VLOOKUP(B322, DanhSachNhanVien, 2, FALSE))</f>
      </c>
      <c r="Q322" s="0">
        <f>IF(P322="", "", VLOOKUP(P322, DanhSachNhanVien, 2, FALSE))</f>
      </c>
      <c r="Z322" s="0">
        <f>IF(D322="", "", VLOOKUP(D322, DanhSachLoaiQuyetDinhRange, 2, FALSE))</f>
      </c>
      <c r="AA322" s="0">
        <f>IF(I322="", "", VLOOKUP(I322, DanhSachPhongBanRange, 2, FALSE))</f>
      </c>
      <c r="AB322" s="0">
        <f>IF(J322="", "", VLOOKUP(J322, DanhSachChucDanhRange, 2, FALSE))</f>
      </c>
      <c r="AC322" s="0">
        <f>IF(L322="", "", VLOOKUP(L322, ThangLuongData, 2, FALSE))</f>
      </c>
      <c r="AD322" s="0">
        <f>IF(M322="", "", VLOOKUP(M322, NgachLuongData, 2, FALSE))</f>
      </c>
      <c r="AE322" s="0">
        <f>IF(N322="", "", VLOOKUP(N322, BacLuongData, 2, FALSE))</f>
      </c>
      <c r="AF322" s="0">
        <f>IF(P322="", "", VLOOKUP(P322, DanhSachCodeId, 3, FALSE))</f>
      </c>
    </row>
    <row r="323">
      <c r="A323" s="0">
        <f>IF(B323="", "", VLOOKUP(B323, DanhSachCodeId, 3, FALSE))</f>
      </c>
      <c r="C323" s="0">
        <f>IF(B323="", "", VLOOKUP(B323, DanhSachNhanVien, 2, FALSE))</f>
      </c>
      <c r="Q323" s="0">
        <f>IF(P323="", "", VLOOKUP(P323, DanhSachNhanVien, 2, FALSE))</f>
      </c>
      <c r="Z323" s="0">
        <f>IF(D323="", "", VLOOKUP(D323, DanhSachLoaiQuyetDinhRange, 2, FALSE))</f>
      </c>
      <c r="AA323" s="0">
        <f>IF(I323="", "", VLOOKUP(I323, DanhSachPhongBanRange, 2, FALSE))</f>
      </c>
      <c r="AB323" s="0">
        <f>IF(J323="", "", VLOOKUP(J323, DanhSachChucDanhRange, 2, FALSE))</f>
      </c>
      <c r="AC323" s="0">
        <f>IF(L323="", "", VLOOKUP(L323, ThangLuongData, 2, FALSE))</f>
      </c>
      <c r="AD323" s="0">
        <f>IF(M323="", "", VLOOKUP(M323, NgachLuongData, 2, FALSE))</f>
      </c>
      <c r="AE323" s="0">
        <f>IF(N323="", "", VLOOKUP(N323, BacLuongData, 2, FALSE))</f>
      </c>
      <c r="AF323" s="0">
        <f>IF(P323="", "", VLOOKUP(P323, DanhSachCodeId, 3, FALSE))</f>
      </c>
    </row>
    <row r="324">
      <c r="A324" s="0">
        <f>IF(B324="", "", VLOOKUP(B324, DanhSachCodeId, 3, FALSE))</f>
      </c>
      <c r="C324" s="0">
        <f>IF(B324="", "", VLOOKUP(B324, DanhSachNhanVien, 2, FALSE))</f>
      </c>
      <c r="Q324" s="0">
        <f>IF(P324="", "", VLOOKUP(P324, DanhSachNhanVien, 2, FALSE))</f>
      </c>
      <c r="Z324" s="0">
        <f>IF(D324="", "", VLOOKUP(D324, DanhSachLoaiQuyetDinhRange, 2, FALSE))</f>
      </c>
      <c r="AA324" s="0">
        <f>IF(I324="", "", VLOOKUP(I324, DanhSachPhongBanRange, 2, FALSE))</f>
      </c>
      <c r="AB324" s="0">
        <f>IF(J324="", "", VLOOKUP(J324, DanhSachChucDanhRange, 2, FALSE))</f>
      </c>
      <c r="AC324" s="0">
        <f>IF(L324="", "", VLOOKUP(L324, ThangLuongData, 2, FALSE))</f>
      </c>
      <c r="AD324" s="0">
        <f>IF(M324="", "", VLOOKUP(M324, NgachLuongData, 2, FALSE))</f>
      </c>
      <c r="AE324" s="0">
        <f>IF(N324="", "", VLOOKUP(N324, BacLuongData, 2, FALSE))</f>
      </c>
      <c r="AF324" s="0">
        <f>IF(P324="", "", VLOOKUP(P324, DanhSachCodeId, 3, FALSE))</f>
      </c>
    </row>
    <row r="325">
      <c r="A325" s="0">
        <f>IF(B325="", "", VLOOKUP(B325, DanhSachCodeId, 3, FALSE))</f>
      </c>
      <c r="C325" s="0">
        <f>IF(B325="", "", VLOOKUP(B325, DanhSachNhanVien, 2, FALSE))</f>
      </c>
      <c r="Q325" s="0">
        <f>IF(P325="", "", VLOOKUP(P325, DanhSachNhanVien, 2, FALSE))</f>
      </c>
      <c r="Z325" s="0">
        <f>IF(D325="", "", VLOOKUP(D325, DanhSachLoaiQuyetDinhRange, 2, FALSE))</f>
      </c>
      <c r="AA325" s="0">
        <f>IF(I325="", "", VLOOKUP(I325, DanhSachPhongBanRange, 2, FALSE))</f>
      </c>
      <c r="AB325" s="0">
        <f>IF(J325="", "", VLOOKUP(J325, DanhSachChucDanhRange, 2, FALSE))</f>
      </c>
      <c r="AC325" s="0">
        <f>IF(L325="", "", VLOOKUP(L325, ThangLuongData, 2, FALSE))</f>
      </c>
      <c r="AD325" s="0">
        <f>IF(M325="", "", VLOOKUP(M325, NgachLuongData, 2, FALSE))</f>
      </c>
      <c r="AE325" s="0">
        <f>IF(N325="", "", VLOOKUP(N325, BacLuongData, 2, FALSE))</f>
      </c>
      <c r="AF325" s="0">
        <f>IF(P325="", "", VLOOKUP(P325, DanhSachCodeId, 3, FALSE))</f>
      </c>
    </row>
    <row r="326">
      <c r="A326" s="0">
        <f>IF(B326="", "", VLOOKUP(B326, DanhSachCodeId, 3, FALSE))</f>
      </c>
      <c r="C326" s="0">
        <f>IF(B326="", "", VLOOKUP(B326, DanhSachNhanVien, 2, FALSE))</f>
      </c>
      <c r="Q326" s="0">
        <f>IF(P326="", "", VLOOKUP(P326, DanhSachNhanVien, 2, FALSE))</f>
      </c>
      <c r="Z326" s="0">
        <f>IF(D326="", "", VLOOKUP(D326, DanhSachLoaiQuyetDinhRange, 2, FALSE))</f>
      </c>
      <c r="AA326" s="0">
        <f>IF(I326="", "", VLOOKUP(I326, DanhSachPhongBanRange, 2, FALSE))</f>
      </c>
      <c r="AB326" s="0">
        <f>IF(J326="", "", VLOOKUP(J326, DanhSachChucDanhRange, 2, FALSE))</f>
      </c>
      <c r="AC326" s="0">
        <f>IF(L326="", "", VLOOKUP(L326, ThangLuongData, 2, FALSE))</f>
      </c>
      <c r="AD326" s="0">
        <f>IF(M326="", "", VLOOKUP(M326, NgachLuongData, 2, FALSE))</f>
      </c>
      <c r="AE326" s="0">
        <f>IF(N326="", "", VLOOKUP(N326, BacLuongData, 2, FALSE))</f>
      </c>
      <c r="AF326" s="0">
        <f>IF(P326="", "", VLOOKUP(P326, DanhSachCodeId, 3, FALSE))</f>
      </c>
    </row>
    <row r="327">
      <c r="A327" s="0">
        <f>IF(B327="", "", VLOOKUP(B327, DanhSachCodeId, 3, FALSE))</f>
      </c>
      <c r="C327" s="0">
        <f>IF(B327="", "", VLOOKUP(B327, DanhSachNhanVien, 2, FALSE))</f>
      </c>
      <c r="Q327" s="0">
        <f>IF(P327="", "", VLOOKUP(P327, DanhSachNhanVien, 2, FALSE))</f>
      </c>
      <c r="Z327" s="0">
        <f>IF(D327="", "", VLOOKUP(D327, DanhSachLoaiQuyetDinhRange, 2, FALSE))</f>
      </c>
      <c r="AA327" s="0">
        <f>IF(I327="", "", VLOOKUP(I327, DanhSachPhongBanRange, 2, FALSE))</f>
      </c>
      <c r="AB327" s="0">
        <f>IF(J327="", "", VLOOKUP(J327, DanhSachChucDanhRange, 2, FALSE))</f>
      </c>
      <c r="AC327" s="0">
        <f>IF(L327="", "", VLOOKUP(L327, ThangLuongData, 2, FALSE))</f>
      </c>
      <c r="AD327" s="0">
        <f>IF(M327="", "", VLOOKUP(M327, NgachLuongData, 2, FALSE))</f>
      </c>
      <c r="AE327" s="0">
        <f>IF(N327="", "", VLOOKUP(N327, BacLuongData, 2, FALSE))</f>
      </c>
      <c r="AF327" s="0">
        <f>IF(P327="", "", VLOOKUP(P327, DanhSachCodeId, 3, FALSE))</f>
      </c>
    </row>
    <row r="328">
      <c r="A328" s="0">
        <f>IF(B328="", "", VLOOKUP(B328, DanhSachCodeId, 3, FALSE))</f>
      </c>
      <c r="C328" s="0">
        <f>IF(B328="", "", VLOOKUP(B328, DanhSachNhanVien, 2, FALSE))</f>
      </c>
      <c r="Q328" s="0">
        <f>IF(P328="", "", VLOOKUP(P328, DanhSachNhanVien, 2, FALSE))</f>
      </c>
      <c r="Z328" s="0">
        <f>IF(D328="", "", VLOOKUP(D328, DanhSachLoaiQuyetDinhRange, 2, FALSE))</f>
      </c>
      <c r="AA328" s="0">
        <f>IF(I328="", "", VLOOKUP(I328, DanhSachPhongBanRange, 2, FALSE))</f>
      </c>
      <c r="AB328" s="0">
        <f>IF(J328="", "", VLOOKUP(J328, DanhSachChucDanhRange, 2, FALSE))</f>
      </c>
      <c r="AC328" s="0">
        <f>IF(L328="", "", VLOOKUP(L328, ThangLuongData, 2, FALSE))</f>
      </c>
      <c r="AD328" s="0">
        <f>IF(M328="", "", VLOOKUP(M328, NgachLuongData, 2, FALSE))</f>
      </c>
      <c r="AE328" s="0">
        <f>IF(N328="", "", VLOOKUP(N328, BacLuongData, 2, FALSE))</f>
      </c>
      <c r="AF328" s="0">
        <f>IF(P328="", "", VLOOKUP(P328, DanhSachCodeId, 3, FALSE))</f>
      </c>
    </row>
    <row r="329">
      <c r="A329" s="0">
        <f>IF(B329="", "", VLOOKUP(B329, DanhSachCodeId, 3, FALSE))</f>
      </c>
      <c r="C329" s="0">
        <f>IF(B329="", "", VLOOKUP(B329, DanhSachNhanVien, 2, FALSE))</f>
      </c>
      <c r="Q329" s="0">
        <f>IF(P329="", "", VLOOKUP(P329, DanhSachNhanVien, 2, FALSE))</f>
      </c>
      <c r="Z329" s="0">
        <f>IF(D329="", "", VLOOKUP(D329, DanhSachLoaiQuyetDinhRange, 2, FALSE))</f>
      </c>
      <c r="AA329" s="0">
        <f>IF(I329="", "", VLOOKUP(I329, DanhSachPhongBanRange, 2, FALSE))</f>
      </c>
      <c r="AB329" s="0">
        <f>IF(J329="", "", VLOOKUP(J329, DanhSachChucDanhRange, 2, FALSE))</f>
      </c>
      <c r="AC329" s="0">
        <f>IF(L329="", "", VLOOKUP(L329, ThangLuongData, 2, FALSE))</f>
      </c>
      <c r="AD329" s="0">
        <f>IF(M329="", "", VLOOKUP(M329, NgachLuongData, 2, FALSE))</f>
      </c>
      <c r="AE329" s="0">
        <f>IF(N329="", "", VLOOKUP(N329, BacLuongData, 2, FALSE))</f>
      </c>
      <c r="AF329" s="0">
        <f>IF(P329="", "", VLOOKUP(P329, DanhSachCodeId, 3, FALSE))</f>
      </c>
    </row>
    <row r="330">
      <c r="A330" s="0">
        <f>IF(B330="", "", VLOOKUP(B330, DanhSachCodeId, 3, FALSE))</f>
      </c>
      <c r="C330" s="0">
        <f>IF(B330="", "", VLOOKUP(B330, DanhSachNhanVien, 2, FALSE))</f>
      </c>
      <c r="Q330" s="0">
        <f>IF(P330="", "", VLOOKUP(P330, DanhSachNhanVien, 2, FALSE))</f>
      </c>
      <c r="Z330" s="0">
        <f>IF(D330="", "", VLOOKUP(D330, DanhSachLoaiQuyetDinhRange, 2, FALSE))</f>
      </c>
      <c r="AA330" s="0">
        <f>IF(I330="", "", VLOOKUP(I330, DanhSachPhongBanRange, 2, FALSE))</f>
      </c>
      <c r="AB330" s="0">
        <f>IF(J330="", "", VLOOKUP(J330, DanhSachChucDanhRange, 2, FALSE))</f>
      </c>
      <c r="AC330" s="0">
        <f>IF(L330="", "", VLOOKUP(L330, ThangLuongData, 2, FALSE))</f>
      </c>
      <c r="AD330" s="0">
        <f>IF(M330="", "", VLOOKUP(M330, NgachLuongData, 2, FALSE))</f>
      </c>
      <c r="AE330" s="0">
        <f>IF(N330="", "", VLOOKUP(N330, BacLuongData, 2, FALSE))</f>
      </c>
      <c r="AF330" s="0">
        <f>IF(P330="", "", VLOOKUP(P330, DanhSachCodeId, 3, FALSE))</f>
      </c>
    </row>
    <row r="331">
      <c r="A331" s="0">
        <f>IF(B331="", "", VLOOKUP(B331, DanhSachCodeId, 3, FALSE))</f>
      </c>
      <c r="C331" s="0">
        <f>IF(B331="", "", VLOOKUP(B331, DanhSachNhanVien, 2, FALSE))</f>
      </c>
      <c r="Q331" s="0">
        <f>IF(P331="", "", VLOOKUP(P331, DanhSachNhanVien, 2, FALSE))</f>
      </c>
      <c r="Z331" s="0">
        <f>IF(D331="", "", VLOOKUP(D331, DanhSachLoaiQuyetDinhRange, 2, FALSE))</f>
      </c>
      <c r="AA331" s="0">
        <f>IF(I331="", "", VLOOKUP(I331, DanhSachPhongBanRange, 2, FALSE))</f>
      </c>
      <c r="AB331" s="0">
        <f>IF(J331="", "", VLOOKUP(J331, DanhSachChucDanhRange, 2, FALSE))</f>
      </c>
      <c r="AC331" s="0">
        <f>IF(L331="", "", VLOOKUP(L331, ThangLuongData, 2, FALSE))</f>
      </c>
      <c r="AD331" s="0">
        <f>IF(M331="", "", VLOOKUP(M331, NgachLuongData, 2, FALSE))</f>
      </c>
      <c r="AE331" s="0">
        <f>IF(N331="", "", VLOOKUP(N331, BacLuongData, 2, FALSE))</f>
      </c>
      <c r="AF331" s="0">
        <f>IF(P331="", "", VLOOKUP(P331, DanhSachCodeId, 3, FALSE))</f>
      </c>
    </row>
    <row r="332">
      <c r="A332" s="0">
        <f>IF(B332="", "", VLOOKUP(B332, DanhSachCodeId, 3, FALSE))</f>
      </c>
      <c r="C332" s="0">
        <f>IF(B332="", "", VLOOKUP(B332, DanhSachNhanVien, 2, FALSE))</f>
      </c>
      <c r="Q332" s="0">
        <f>IF(P332="", "", VLOOKUP(P332, DanhSachNhanVien, 2, FALSE))</f>
      </c>
      <c r="Z332" s="0">
        <f>IF(D332="", "", VLOOKUP(D332, DanhSachLoaiQuyetDinhRange, 2, FALSE))</f>
      </c>
      <c r="AA332" s="0">
        <f>IF(I332="", "", VLOOKUP(I332, DanhSachPhongBanRange, 2, FALSE))</f>
      </c>
      <c r="AB332" s="0">
        <f>IF(J332="", "", VLOOKUP(J332, DanhSachChucDanhRange, 2, FALSE))</f>
      </c>
      <c r="AC332" s="0">
        <f>IF(L332="", "", VLOOKUP(L332, ThangLuongData, 2, FALSE))</f>
      </c>
      <c r="AD332" s="0">
        <f>IF(M332="", "", VLOOKUP(M332, NgachLuongData, 2, FALSE))</f>
      </c>
      <c r="AE332" s="0">
        <f>IF(N332="", "", VLOOKUP(N332, BacLuongData, 2, FALSE))</f>
      </c>
      <c r="AF332" s="0">
        <f>IF(P332="", "", VLOOKUP(P332, DanhSachCodeId, 3, FALSE))</f>
      </c>
    </row>
    <row r="333">
      <c r="A333" s="0">
        <f>IF(B333="", "", VLOOKUP(B333, DanhSachCodeId, 3, FALSE))</f>
      </c>
      <c r="C333" s="0">
        <f>IF(B333="", "", VLOOKUP(B333, DanhSachNhanVien, 2, FALSE))</f>
      </c>
      <c r="Q333" s="0">
        <f>IF(P333="", "", VLOOKUP(P333, DanhSachNhanVien, 2, FALSE))</f>
      </c>
      <c r="Z333" s="0">
        <f>IF(D333="", "", VLOOKUP(D333, DanhSachLoaiQuyetDinhRange, 2, FALSE))</f>
      </c>
      <c r="AA333" s="0">
        <f>IF(I333="", "", VLOOKUP(I333, DanhSachPhongBanRange, 2, FALSE))</f>
      </c>
      <c r="AB333" s="0">
        <f>IF(J333="", "", VLOOKUP(J333, DanhSachChucDanhRange, 2, FALSE))</f>
      </c>
      <c r="AC333" s="0">
        <f>IF(L333="", "", VLOOKUP(L333, ThangLuongData, 2, FALSE))</f>
      </c>
      <c r="AD333" s="0">
        <f>IF(M333="", "", VLOOKUP(M333, NgachLuongData, 2, FALSE))</f>
      </c>
      <c r="AE333" s="0">
        <f>IF(N333="", "", VLOOKUP(N333, BacLuongData, 2, FALSE))</f>
      </c>
      <c r="AF333" s="0">
        <f>IF(P333="", "", VLOOKUP(P333, DanhSachCodeId, 3, FALSE))</f>
      </c>
    </row>
    <row r="334">
      <c r="A334" s="0">
        <f>IF(B334="", "", VLOOKUP(B334, DanhSachCodeId, 3, FALSE))</f>
      </c>
      <c r="C334" s="0">
        <f>IF(B334="", "", VLOOKUP(B334, DanhSachNhanVien, 2, FALSE))</f>
      </c>
      <c r="Q334" s="0">
        <f>IF(P334="", "", VLOOKUP(P334, DanhSachNhanVien, 2, FALSE))</f>
      </c>
      <c r="Z334" s="0">
        <f>IF(D334="", "", VLOOKUP(D334, DanhSachLoaiQuyetDinhRange, 2, FALSE))</f>
      </c>
      <c r="AA334" s="0">
        <f>IF(I334="", "", VLOOKUP(I334, DanhSachPhongBanRange, 2, FALSE))</f>
      </c>
      <c r="AB334" s="0">
        <f>IF(J334="", "", VLOOKUP(J334, DanhSachChucDanhRange, 2, FALSE))</f>
      </c>
      <c r="AC334" s="0">
        <f>IF(L334="", "", VLOOKUP(L334, ThangLuongData, 2, FALSE))</f>
      </c>
      <c r="AD334" s="0">
        <f>IF(M334="", "", VLOOKUP(M334, NgachLuongData, 2, FALSE))</f>
      </c>
      <c r="AE334" s="0">
        <f>IF(N334="", "", VLOOKUP(N334, BacLuongData, 2, FALSE))</f>
      </c>
      <c r="AF334" s="0">
        <f>IF(P334="", "", VLOOKUP(P334, DanhSachCodeId, 3, FALSE))</f>
      </c>
    </row>
    <row r="335">
      <c r="A335" s="0">
        <f>IF(B335="", "", VLOOKUP(B335, DanhSachCodeId, 3, FALSE))</f>
      </c>
      <c r="C335" s="0">
        <f>IF(B335="", "", VLOOKUP(B335, DanhSachNhanVien, 2, FALSE))</f>
      </c>
      <c r="Q335" s="0">
        <f>IF(P335="", "", VLOOKUP(P335, DanhSachNhanVien, 2, FALSE))</f>
      </c>
      <c r="Z335" s="0">
        <f>IF(D335="", "", VLOOKUP(D335, DanhSachLoaiQuyetDinhRange, 2, FALSE))</f>
      </c>
      <c r="AA335" s="0">
        <f>IF(I335="", "", VLOOKUP(I335, DanhSachPhongBanRange, 2, FALSE))</f>
      </c>
      <c r="AB335" s="0">
        <f>IF(J335="", "", VLOOKUP(J335, DanhSachChucDanhRange, 2, FALSE))</f>
      </c>
      <c r="AC335" s="0">
        <f>IF(L335="", "", VLOOKUP(L335, ThangLuongData, 2, FALSE))</f>
      </c>
      <c r="AD335" s="0">
        <f>IF(M335="", "", VLOOKUP(M335, NgachLuongData, 2, FALSE))</f>
      </c>
      <c r="AE335" s="0">
        <f>IF(N335="", "", VLOOKUP(N335, BacLuongData, 2, FALSE))</f>
      </c>
      <c r="AF335" s="0">
        <f>IF(P335="", "", VLOOKUP(P335, DanhSachCodeId, 3, FALSE))</f>
      </c>
    </row>
    <row r="336">
      <c r="A336" s="0">
        <f>IF(B336="", "", VLOOKUP(B336, DanhSachCodeId, 3, FALSE))</f>
      </c>
      <c r="C336" s="0">
        <f>IF(B336="", "", VLOOKUP(B336, DanhSachNhanVien, 2, FALSE))</f>
      </c>
      <c r="Q336" s="0">
        <f>IF(P336="", "", VLOOKUP(P336, DanhSachNhanVien, 2, FALSE))</f>
      </c>
      <c r="Z336" s="0">
        <f>IF(D336="", "", VLOOKUP(D336, DanhSachLoaiQuyetDinhRange, 2, FALSE))</f>
      </c>
      <c r="AA336" s="0">
        <f>IF(I336="", "", VLOOKUP(I336, DanhSachPhongBanRange, 2, FALSE))</f>
      </c>
      <c r="AB336" s="0">
        <f>IF(J336="", "", VLOOKUP(J336, DanhSachChucDanhRange, 2, FALSE))</f>
      </c>
      <c r="AC336" s="0">
        <f>IF(L336="", "", VLOOKUP(L336, ThangLuongData, 2, FALSE))</f>
      </c>
      <c r="AD336" s="0">
        <f>IF(M336="", "", VLOOKUP(M336, NgachLuongData, 2, FALSE))</f>
      </c>
      <c r="AE336" s="0">
        <f>IF(N336="", "", VLOOKUP(N336, BacLuongData, 2, FALSE))</f>
      </c>
      <c r="AF336" s="0">
        <f>IF(P336="", "", VLOOKUP(P336, DanhSachCodeId, 3, FALSE))</f>
      </c>
    </row>
    <row r="337">
      <c r="A337" s="0">
        <f>IF(B337="", "", VLOOKUP(B337, DanhSachCodeId, 3, FALSE))</f>
      </c>
      <c r="C337" s="0">
        <f>IF(B337="", "", VLOOKUP(B337, DanhSachNhanVien, 2, FALSE))</f>
      </c>
      <c r="Q337" s="0">
        <f>IF(P337="", "", VLOOKUP(P337, DanhSachNhanVien, 2, FALSE))</f>
      </c>
      <c r="Z337" s="0">
        <f>IF(D337="", "", VLOOKUP(D337, DanhSachLoaiQuyetDinhRange, 2, FALSE))</f>
      </c>
      <c r="AA337" s="0">
        <f>IF(I337="", "", VLOOKUP(I337, DanhSachPhongBanRange, 2, FALSE))</f>
      </c>
      <c r="AB337" s="0">
        <f>IF(J337="", "", VLOOKUP(J337, DanhSachChucDanhRange, 2, FALSE))</f>
      </c>
      <c r="AC337" s="0">
        <f>IF(L337="", "", VLOOKUP(L337, ThangLuongData, 2, FALSE))</f>
      </c>
      <c r="AD337" s="0">
        <f>IF(M337="", "", VLOOKUP(M337, NgachLuongData, 2, FALSE))</f>
      </c>
      <c r="AE337" s="0">
        <f>IF(N337="", "", VLOOKUP(N337, BacLuongData, 2, FALSE))</f>
      </c>
      <c r="AF337" s="0">
        <f>IF(P337="", "", VLOOKUP(P337, DanhSachCodeId, 3, FALSE))</f>
      </c>
    </row>
    <row r="338">
      <c r="A338" s="0">
        <f>IF(B338="", "", VLOOKUP(B338, DanhSachCodeId, 3, FALSE))</f>
      </c>
      <c r="C338" s="0">
        <f>IF(B338="", "", VLOOKUP(B338, DanhSachNhanVien, 2, FALSE))</f>
      </c>
      <c r="Q338" s="0">
        <f>IF(P338="", "", VLOOKUP(P338, DanhSachNhanVien, 2, FALSE))</f>
      </c>
      <c r="Z338" s="0">
        <f>IF(D338="", "", VLOOKUP(D338, DanhSachLoaiQuyetDinhRange, 2, FALSE))</f>
      </c>
      <c r="AA338" s="0">
        <f>IF(I338="", "", VLOOKUP(I338, DanhSachPhongBanRange, 2, FALSE))</f>
      </c>
      <c r="AB338" s="0">
        <f>IF(J338="", "", VLOOKUP(J338, DanhSachChucDanhRange, 2, FALSE))</f>
      </c>
      <c r="AC338" s="0">
        <f>IF(L338="", "", VLOOKUP(L338, ThangLuongData, 2, FALSE))</f>
      </c>
      <c r="AD338" s="0">
        <f>IF(M338="", "", VLOOKUP(M338, NgachLuongData, 2, FALSE))</f>
      </c>
      <c r="AE338" s="0">
        <f>IF(N338="", "", VLOOKUP(N338, BacLuongData, 2, FALSE))</f>
      </c>
      <c r="AF338" s="0">
        <f>IF(P338="", "", VLOOKUP(P338, DanhSachCodeId, 3, FALSE))</f>
      </c>
    </row>
    <row r="339">
      <c r="A339" s="0">
        <f>IF(B339="", "", VLOOKUP(B339, DanhSachCodeId, 3, FALSE))</f>
      </c>
      <c r="C339" s="0">
        <f>IF(B339="", "", VLOOKUP(B339, DanhSachNhanVien, 2, FALSE))</f>
      </c>
      <c r="Q339" s="0">
        <f>IF(P339="", "", VLOOKUP(P339, DanhSachNhanVien, 2, FALSE))</f>
      </c>
      <c r="Z339" s="0">
        <f>IF(D339="", "", VLOOKUP(D339, DanhSachLoaiQuyetDinhRange, 2, FALSE))</f>
      </c>
      <c r="AA339" s="0">
        <f>IF(I339="", "", VLOOKUP(I339, DanhSachPhongBanRange, 2, FALSE))</f>
      </c>
      <c r="AB339" s="0">
        <f>IF(J339="", "", VLOOKUP(J339, DanhSachChucDanhRange, 2, FALSE))</f>
      </c>
      <c r="AC339" s="0">
        <f>IF(L339="", "", VLOOKUP(L339, ThangLuongData, 2, FALSE))</f>
      </c>
      <c r="AD339" s="0">
        <f>IF(M339="", "", VLOOKUP(M339, NgachLuongData, 2, FALSE))</f>
      </c>
      <c r="AE339" s="0">
        <f>IF(N339="", "", VLOOKUP(N339, BacLuongData, 2, FALSE))</f>
      </c>
      <c r="AF339" s="0">
        <f>IF(P339="", "", VLOOKUP(P339, DanhSachCodeId, 3, FALSE))</f>
      </c>
    </row>
    <row r="340">
      <c r="A340" s="0">
        <f>IF(B340="", "", VLOOKUP(B340, DanhSachCodeId, 3, FALSE))</f>
      </c>
      <c r="C340" s="0">
        <f>IF(B340="", "", VLOOKUP(B340, DanhSachNhanVien, 2, FALSE))</f>
      </c>
      <c r="Q340" s="0">
        <f>IF(P340="", "", VLOOKUP(P340, DanhSachNhanVien, 2, FALSE))</f>
      </c>
      <c r="Z340" s="0">
        <f>IF(D340="", "", VLOOKUP(D340, DanhSachLoaiQuyetDinhRange, 2, FALSE))</f>
      </c>
      <c r="AA340" s="0">
        <f>IF(I340="", "", VLOOKUP(I340, DanhSachPhongBanRange, 2, FALSE))</f>
      </c>
      <c r="AB340" s="0">
        <f>IF(J340="", "", VLOOKUP(J340, DanhSachChucDanhRange, 2, FALSE))</f>
      </c>
      <c r="AC340" s="0">
        <f>IF(L340="", "", VLOOKUP(L340, ThangLuongData, 2, FALSE))</f>
      </c>
      <c r="AD340" s="0">
        <f>IF(M340="", "", VLOOKUP(M340, NgachLuongData, 2, FALSE))</f>
      </c>
      <c r="AE340" s="0">
        <f>IF(N340="", "", VLOOKUP(N340, BacLuongData, 2, FALSE))</f>
      </c>
      <c r="AF340" s="0">
        <f>IF(P340="", "", VLOOKUP(P340, DanhSachCodeId, 3, FALSE))</f>
      </c>
    </row>
    <row r="341">
      <c r="A341" s="0">
        <f>IF(B341="", "", VLOOKUP(B341, DanhSachCodeId, 3, FALSE))</f>
      </c>
      <c r="C341" s="0">
        <f>IF(B341="", "", VLOOKUP(B341, DanhSachNhanVien, 2, FALSE))</f>
      </c>
      <c r="Q341" s="0">
        <f>IF(P341="", "", VLOOKUP(P341, DanhSachNhanVien, 2, FALSE))</f>
      </c>
      <c r="Z341" s="0">
        <f>IF(D341="", "", VLOOKUP(D341, DanhSachLoaiQuyetDinhRange, 2, FALSE))</f>
      </c>
      <c r="AA341" s="0">
        <f>IF(I341="", "", VLOOKUP(I341, DanhSachPhongBanRange, 2, FALSE))</f>
      </c>
      <c r="AB341" s="0">
        <f>IF(J341="", "", VLOOKUP(J341, DanhSachChucDanhRange, 2, FALSE))</f>
      </c>
      <c r="AC341" s="0">
        <f>IF(L341="", "", VLOOKUP(L341, ThangLuongData, 2, FALSE))</f>
      </c>
      <c r="AD341" s="0">
        <f>IF(M341="", "", VLOOKUP(M341, NgachLuongData, 2, FALSE))</f>
      </c>
      <c r="AE341" s="0">
        <f>IF(N341="", "", VLOOKUP(N341, BacLuongData, 2, FALSE))</f>
      </c>
      <c r="AF341" s="0">
        <f>IF(P341="", "", VLOOKUP(P341, DanhSachCodeId, 3, FALSE))</f>
      </c>
    </row>
    <row r="342">
      <c r="A342" s="0">
        <f>IF(B342="", "", VLOOKUP(B342, DanhSachCodeId, 3, FALSE))</f>
      </c>
      <c r="C342" s="0">
        <f>IF(B342="", "", VLOOKUP(B342, DanhSachNhanVien, 2, FALSE))</f>
      </c>
      <c r="Q342" s="0">
        <f>IF(P342="", "", VLOOKUP(P342, DanhSachNhanVien, 2, FALSE))</f>
      </c>
      <c r="Z342" s="0">
        <f>IF(D342="", "", VLOOKUP(D342, DanhSachLoaiQuyetDinhRange, 2, FALSE))</f>
      </c>
      <c r="AA342" s="0">
        <f>IF(I342="", "", VLOOKUP(I342, DanhSachPhongBanRange, 2, FALSE))</f>
      </c>
      <c r="AB342" s="0">
        <f>IF(J342="", "", VLOOKUP(J342, DanhSachChucDanhRange, 2, FALSE))</f>
      </c>
      <c r="AC342" s="0">
        <f>IF(L342="", "", VLOOKUP(L342, ThangLuongData, 2, FALSE))</f>
      </c>
      <c r="AD342" s="0">
        <f>IF(M342="", "", VLOOKUP(M342, NgachLuongData, 2, FALSE))</f>
      </c>
      <c r="AE342" s="0">
        <f>IF(N342="", "", VLOOKUP(N342, BacLuongData, 2, FALSE))</f>
      </c>
      <c r="AF342" s="0">
        <f>IF(P342="", "", VLOOKUP(P342, DanhSachCodeId, 3, FALSE))</f>
      </c>
    </row>
    <row r="343">
      <c r="A343" s="0">
        <f>IF(B343="", "", VLOOKUP(B343, DanhSachCodeId, 3, FALSE))</f>
      </c>
      <c r="C343" s="0">
        <f>IF(B343="", "", VLOOKUP(B343, DanhSachNhanVien, 2, FALSE))</f>
      </c>
      <c r="Q343" s="0">
        <f>IF(P343="", "", VLOOKUP(P343, DanhSachNhanVien, 2, FALSE))</f>
      </c>
      <c r="Z343" s="0">
        <f>IF(D343="", "", VLOOKUP(D343, DanhSachLoaiQuyetDinhRange, 2, FALSE))</f>
      </c>
      <c r="AA343" s="0">
        <f>IF(I343="", "", VLOOKUP(I343, DanhSachPhongBanRange, 2, FALSE))</f>
      </c>
      <c r="AB343" s="0">
        <f>IF(J343="", "", VLOOKUP(J343, DanhSachChucDanhRange, 2, FALSE))</f>
      </c>
      <c r="AC343" s="0">
        <f>IF(L343="", "", VLOOKUP(L343, ThangLuongData, 2, FALSE))</f>
      </c>
      <c r="AD343" s="0">
        <f>IF(M343="", "", VLOOKUP(M343, NgachLuongData, 2, FALSE))</f>
      </c>
      <c r="AE343" s="0">
        <f>IF(N343="", "", VLOOKUP(N343, BacLuongData, 2, FALSE))</f>
      </c>
      <c r="AF343" s="0">
        <f>IF(P343="", "", VLOOKUP(P343, DanhSachCodeId, 3, FALSE))</f>
      </c>
    </row>
    <row r="344">
      <c r="A344" s="0">
        <f>IF(B344="", "", VLOOKUP(B344, DanhSachCodeId, 3, FALSE))</f>
      </c>
      <c r="C344" s="0">
        <f>IF(B344="", "", VLOOKUP(B344, DanhSachNhanVien, 2, FALSE))</f>
      </c>
      <c r="Q344" s="0">
        <f>IF(P344="", "", VLOOKUP(P344, DanhSachNhanVien, 2, FALSE))</f>
      </c>
      <c r="Z344" s="0">
        <f>IF(D344="", "", VLOOKUP(D344, DanhSachLoaiQuyetDinhRange, 2, FALSE))</f>
      </c>
      <c r="AA344" s="0">
        <f>IF(I344="", "", VLOOKUP(I344, DanhSachPhongBanRange, 2, FALSE))</f>
      </c>
      <c r="AB344" s="0">
        <f>IF(J344="", "", VLOOKUP(J344, DanhSachChucDanhRange, 2, FALSE))</f>
      </c>
      <c r="AC344" s="0">
        <f>IF(L344="", "", VLOOKUP(L344, ThangLuongData, 2, FALSE))</f>
      </c>
      <c r="AD344" s="0">
        <f>IF(M344="", "", VLOOKUP(M344, NgachLuongData, 2, FALSE))</f>
      </c>
      <c r="AE344" s="0">
        <f>IF(N344="", "", VLOOKUP(N344, BacLuongData, 2, FALSE))</f>
      </c>
      <c r="AF344" s="0">
        <f>IF(P344="", "", VLOOKUP(P344, DanhSachCodeId, 3, FALSE))</f>
      </c>
    </row>
    <row r="345">
      <c r="A345" s="0">
        <f>IF(B345="", "", VLOOKUP(B345, DanhSachCodeId, 3, FALSE))</f>
      </c>
      <c r="C345" s="0">
        <f>IF(B345="", "", VLOOKUP(B345, DanhSachNhanVien, 2, FALSE))</f>
      </c>
      <c r="Q345" s="0">
        <f>IF(P345="", "", VLOOKUP(P345, DanhSachNhanVien, 2, FALSE))</f>
      </c>
      <c r="Z345" s="0">
        <f>IF(D345="", "", VLOOKUP(D345, DanhSachLoaiQuyetDinhRange, 2, FALSE))</f>
      </c>
      <c r="AA345" s="0">
        <f>IF(I345="", "", VLOOKUP(I345, DanhSachPhongBanRange, 2, FALSE))</f>
      </c>
      <c r="AB345" s="0">
        <f>IF(J345="", "", VLOOKUP(J345, DanhSachChucDanhRange, 2, FALSE))</f>
      </c>
      <c r="AC345" s="0">
        <f>IF(L345="", "", VLOOKUP(L345, ThangLuongData, 2, FALSE))</f>
      </c>
      <c r="AD345" s="0">
        <f>IF(M345="", "", VLOOKUP(M345, NgachLuongData, 2, FALSE))</f>
      </c>
      <c r="AE345" s="0">
        <f>IF(N345="", "", VLOOKUP(N345, BacLuongData, 2, FALSE))</f>
      </c>
      <c r="AF345" s="0">
        <f>IF(P345="", "", VLOOKUP(P345, DanhSachCodeId, 3, FALSE))</f>
      </c>
    </row>
    <row r="346">
      <c r="A346" s="0">
        <f>IF(B346="", "", VLOOKUP(B346, DanhSachCodeId, 3, FALSE))</f>
      </c>
      <c r="C346" s="0">
        <f>IF(B346="", "", VLOOKUP(B346, DanhSachNhanVien, 2, FALSE))</f>
      </c>
      <c r="Q346" s="0">
        <f>IF(P346="", "", VLOOKUP(P346, DanhSachNhanVien, 2, FALSE))</f>
      </c>
      <c r="Z346" s="0">
        <f>IF(D346="", "", VLOOKUP(D346, DanhSachLoaiQuyetDinhRange, 2, FALSE))</f>
      </c>
      <c r="AA346" s="0">
        <f>IF(I346="", "", VLOOKUP(I346, DanhSachPhongBanRange, 2, FALSE))</f>
      </c>
      <c r="AB346" s="0">
        <f>IF(J346="", "", VLOOKUP(J346, DanhSachChucDanhRange, 2, FALSE))</f>
      </c>
      <c r="AC346" s="0">
        <f>IF(L346="", "", VLOOKUP(L346, ThangLuongData, 2, FALSE))</f>
      </c>
      <c r="AD346" s="0">
        <f>IF(M346="", "", VLOOKUP(M346, NgachLuongData, 2, FALSE))</f>
      </c>
      <c r="AE346" s="0">
        <f>IF(N346="", "", VLOOKUP(N346, BacLuongData, 2, FALSE))</f>
      </c>
      <c r="AF346" s="0">
        <f>IF(P346="", "", VLOOKUP(P346, DanhSachCodeId, 3, FALSE))</f>
      </c>
    </row>
    <row r="347">
      <c r="A347" s="0">
        <f>IF(B347="", "", VLOOKUP(B347, DanhSachCodeId, 3, FALSE))</f>
      </c>
      <c r="C347" s="0">
        <f>IF(B347="", "", VLOOKUP(B347, DanhSachNhanVien, 2, FALSE))</f>
      </c>
      <c r="Q347" s="0">
        <f>IF(P347="", "", VLOOKUP(P347, DanhSachNhanVien, 2, FALSE))</f>
      </c>
      <c r="Z347" s="0">
        <f>IF(D347="", "", VLOOKUP(D347, DanhSachLoaiQuyetDinhRange, 2, FALSE))</f>
      </c>
      <c r="AA347" s="0">
        <f>IF(I347="", "", VLOOKUP(I347, DanhSachPhongBanRange, 2, FALSE))</f>
      </c>
      <c r="AB347" s="0">
        <f>IF(J347="", "", VLOOKUP(J347, DanhSachChucDanhRange, 2, FALSE))</f>
      </c>
      <c r="AC347" s="0">
        <f>IF(L347="", "", VLOOKUP(L347, ThangLuongData, 2, FALSE))</f>
      </c>
      <c r="AD347" s="0">
        <f>IF(M347="", "", VLOOKUP(M347, NgachLuongData, 2, FALSE))</f>
      </c>
      <c r="AE347" s="0">
        <f>IF(N347="", "", VLOOKUP(N347, BacLuongData, 2, FALSE))</f>
      </c>
      <c r="AF347" s="0">
        <f>IF(P347="", "", VLOOKUP(P347, DanhSachCodeId, 3, FALSE))</f>
      </c>
    </row>
    <row r="348">
      <c r="A348" s="0">
        <f>IF(B348="", "", VLOOKUP(B348, DanhSachCodeId, 3, FALSE))</f>
      </c>
      <c r="C348" s="0">
        <f>IF(B348="", "", VLOOKUP(B348, DanhSachNhanVien, 2, FALSE))</f>
      </c>
      <c r="Q348" s="0">
        <f>IF(P348="", "", VLOOKUP(P348, DanhSachNhanVien, 2, FALSE))</f>
      </c>
      <c r="Z348" s="0">
        <f>IF(D348="", "", VLOOKUP(D348, DanhSachLoaiQuyetDinhRange, 2, FALSE))</f>
      </c>
      <c r="AA348" s="0">
        <f>IF(I348="", "", VLOOKUP(I348, DanhSachPhongBanRange, 2, FALSE))</f>
      </c>
      <c r="AB348" s="0">
        <f>IF(J348="", "", VLOOKUP(J348, DanhSachChucDanhRange, 2, FALSE))</f>
      </c>
      <c r="AC348" s="0">
        <f>IF(L348="", "", VLOOKUP(L348, ThangLuongData, 2, FALSE))</f>
      </c>
      <c r="AD348" s="0">
        <f>IF(M348="", "", VLOOKUP(M348, NgachLuongData, 2, FALSE))</f>
      </c>
      <c r="AE348" s="0">
        <f>IF(N348="", "", VLOOKUP(N348, BacLuongData, 2, FALSE))</f>
      </c>
      <c r="AF348" s="0">
        <f>IF(P348="", "", VLOOKUP(P348, DanhSachCodeId, 3, FALSE))</f>
      </c>
    </row>
    <row r="349">
      <c r="A349" s="0">
        <f>IF(B349="", "", VLOOKUP(B349, DanhSachCodeId, 3, FALSE))</f>
      </c>
      <c r="C349" s="0">
        <f>IF(B349="", "", VLOOKUP(B349, DanhSachNhanVien, 2, FALSE))</f>
      </c>
      <c r="Q349" s="0">
        <f>IF(P349="", "", VLOOKUP(P349, DanhSachNhanVien, 2, FALSE))</f>
      </c>
      <c r="Z349" s="0">
        <f>IF(D349="", "", VLOOKUP(D349, DanhSachLoaiQuyetDinhRange, 2, FALSE))</f>
      </c>
      <c r="AA349" s="0">
        <f>IF(I349="", "", VLOOKUP(I349, DanhSachPhongBanRange, 2, FALSE))</f>
      </c>
      <c r="AB349" s="0">
        <f>IF(J349="", "", VLOOKUP(J349, DanhSachChucDanhRange, 2, FALSE))</f>
      </c>
      <c r="AC349" s="0">
        <f>IF(L349="", "", VLOOKUP(L349, ThangLuongData, 2, FALSE))</f>
      </c>
      <c r="AD349" s="0">
        <f>IF(M349="", "", VLOOKUP(M349, NgachLuongData, 2, FALSE))</f>
      </c>
      <c r="AE349" s="0">
        <f>IF(N349="", "", VLOOKUP(N349, BacLuongData, 2, FALSE))</f>
      </c>
      <c r="AF349" s="0">
        <f>IF(P349="", "", VLOOKUP(P349, DanhSachCodeId, 3, FALSE))</f>
      </c>
    </row>
    <row r="350">
      <c r="A350" s="0">
        <f>IF(B350="", "", VLOOKUP(B350, DanhSachCodeId, 3, FALSE))</f>
      </c>
      <c r="C350" s="0">
        <f>IF(B350="", "", VLOOKUP(B350, DanhSachNhanVien, 2, FALSE))</f>
      </c>
      <c r="Q350" s="0">
        <f>IF(P350="", "", VLOOKUP(P350, DanhSachNhanVien, 2, FALSE))</f>
      </c>
      <c r="Z350" s="0">
        <f>IF(D350="", "", VLOOKUP(D350, DanhSachLoaiQuyetDinhRange, 2, FALSE))</f>
      </c>
      <c r="AA350" s="0">
        <f>IF(I350="", "", VLOOKUP(I350, DanhSachPhongBanRange, 2, FALSE))</f>
      </c>
      <c r="AB350" s="0">
        <f>IF(J350="", "", VLOOKUP(J350, DanhSachChucDanhRange, 2, FALSE))</f>
      </c>
      <c r="AC350" s="0">
        <f>IF(L350="", "", VLOOKUP(L350, ThangLuongData, 2, FALSE))</f>
      </c>
      <c r="AD350" s="0">
        <f>IF(M350="", "", VLOOKUP(M350, NgachLuongData, 2, FALSE))</f>
      </c>
      <c r="AE350" s="0">
        <f>IF(N350="", "", VLOOKUP(N350, BacLuongData, 2, FALSE))</f>
      </c>
      <c r="AF350" s="0">
        <f>IF(P350="", "", VLOOKUP(P350, DanhSachCodeId, 3, FALSE))</f>
      </c>
    </row>
    <row r="351">
      <c r="A351" s="0">
        <f>IF(B351="", "", VLOOKUP(B351, DanhSachCodeId, 3, FALSE))</f>
      </c>
      <c r="C351" s="0">
        <f>IF(B351="", "", VLOOKUP(B351, DanhSachNhanVien, 2, FALSE))</f>
      </c>
      <c r="Q351" s="0">
        <f>IF(P351="", "", VLOOKUP(P351, DanhSachNhanVien, 2, FALSE))</f>
      </c>
      <c r="Z351" s="0">
        <f>IF(D351="", "", VLOOKUP(D351, DanhSachLoaiQuyetDinhRange, 2, FALSE))</f>
      </c>
      <c r="AA351" s="0">
        <f>IF(I351="", "", VLOOKUP(I351, DanhSachPhongBanRange, 2, FALSE))</f>
      </c>
      <c r="AB351" s="0">
        <f>IF(J351="", "", VLOOKUP(J351, DanhSachChucDanhRange, 2, FALSE))</f>
      </c>
      <c r="AC351" s="0">
        <f>IF(L351="", "", VLOOKUP(L351, ThangLuongData, 2, FALSE))</f>
      </c>
      <c r="AD351" s="0">
        <f>IF(M351="", "", VLOOKUP(M351, NgachLuongData, 2, FALSE))</f>
      </c>
      <c r="AE351" s="0">
        <f>IF(N351="", "", VLOOKUP(N351, BacLuongData, 2, FALSE))</f>
      </c>
      <c r="AF351" s="0">
        <f>IF(P351="", "", VLOOKUP(P351, DanhSachCodeId, 3, FALSE))</f>
      </c>
    </row>
    <row r="352">
      <c r="A352" s="0">
        <f>IF(B352="", "", VLOOKUP(B352, DanhSachCodeId, 3, FALSE))</f>
      </c>
      <c r="C352" s="0">
        <f>IF(B352="", "", VLOOKUP(B352, DanhSachNhanVien, 2, FALSE))</f>
      </c>
      <c r="Q352" s="0">
        <f>IF(P352="", "", VLOOKUP(P352, DanhSachNhanVien, 2, FALSE))</f>
      </c>
      <c r="Z352" s="0">
        <f>IF(D352="", "", VLOOKUP(D352, DanhSachLoaiQuyetDinhRange, 2, FALSE))</f>
      </c>
      <c r="AA352" s="0">
        <f>IF(I352="", "", VLOOKUP(I352, DanhSachPhongBanRange, 2, FALSE))</f>
      </c>
      <c r="AB352" s="0">
        <f>IF(J352="", "", VLOOKUP(J352, DanhSachChucDanhRange, 2, FALSE))</f>
      </c>
      <c r="AC352" s="0">
        <f>IF(L352="", "", VLOOKUP(L352, ThangLuongData, 2, FALSE))</f>
      </c>
      <c r="AD352" s="0">
        <f>IF(M352="", "", VLOOKUP(M352, NgachLuongData, 2, FALSE))</f>
      </c>
      <c r="AE352" s="0">
        <f>IF(N352="", "", VLOOKUP(N352, BacLuongData, 2, FALSE))</f>
      </c>
      <c r="AF352" s="0">
        <f>IF(P352="", "", VLOOKUP(P352, DanhSachCodeId, 3, FALSE))</f>
      </c>
    </row>
    <row r="353">
      <c r="A353" s="0">
        <f>IF(B353="", "", VLOOKUP(B353, DanhSachCodeId, 3, FALSE))</f>
      </c>
      <c r="C353" s="0">
        <f>IF(B353="", "", VLOOKUP(B353, DanhSachNhanVien, 2, FALSE))</f>
      </c>
      <c r="Q353" s="0">
        <f>IF(P353="", "", VLOOKUP(P353, DanhSachNhanVien, 2, FALSE))</f>
      </c>
      <c r="Z353" s="0">
        <f>IF(D353="", "", VLOOKUP(D353, DanhSachLoaiQuyetDinhRange, 2, FALSE))</f>
      </c>
      <c r="AA353" s="0">
        <f>IF(I353="", "", VLOOKUP(I353, DanhSachPhongBanRange, 2, FALSE))</f>
      </c>
      <c r="AB353" s="0">
        <f>IF(J353="", "", VLOOKUP(J353, DanhSachChucDanhRange, 2, FALSE))</f>
      </c>
      <c r="AC353" s="0">
        <f>IF(L353="", "", VLOOKUP(L353, ThangLuongData, 2, FALSE))</f>
      </c>
      <c r="AD353" s="0">
        <f>IF(M353="", "", VLOOKUP(M353, NgachLuongData, 2, FALSE))</f>
      </c>
      <c r="AE353" s="0">
        <f>IF(N353="", "", VLOOKUP(N353, BacLuongData, 2, FALSE))</f>
      </c>
      <c r="AF353" s="0">
        <f>IF(P353="", "", VLOOKUP(P353, DanhSachCodeId, 3, FALSE))</f>
      </c>
    </row>
    <row r="354">
      <c r="A354" s="0">
        <f>IF(B354="", "", VLOOKUP(B354, DanhSachCodeId, 3, FALSE))</f>
      </c>
      <c r="C354" s="0">
        <f>IF(B354="", "", VLOOKUP(B354, DanhSachNhanVien, 2, FALSE))</f>
      </c>
      <c r="Q354" s="0">
        <f>IF(P354="", "", VLOOKUP(P354, DanhSachNhanVien, 2, FALSE))</f>
      </c>
      <c r="Z354" s="0">
        <f>IF(D354="", "", VLOOKUP(D354, DanhSachLoaiQuyetDinhRange, 2, FALSE))</f>
      </c>
      <c r="AA354" s="0">
        <f>IF(I354="", "", VLOOKUP(I354, DanhSachPhongBanRange, 2, FALSE))</f>
      </c>
      <c r="AB354" s="0">
        <f>IF(J354="", "", VLOOKUP(J354, DanhSachChucDanhRange, 2, FALSE))</f>
      </c>
      <c r="AC354" s="0">
        <f>IF(L354="", "", VLOOKUP(L354, ThangLuongData, 2, FALSE))</f>
      </c>
      <c r="AD354" s="0">
        <f>IF(M354="", "", VLOOKUP(M354, NgachLuongData, 2, FALSE))</f>
      </c>
      <c r="AE354" s="0">
        <f>IF(N354="", "", VLOOKUP(N354, BacLuongData, 2, FALSE))</f>
      </c>
      <c r="AF354" s="0">
        <f>IF(P354="", "", VLOOKUP(P354, DanhSachCodeId, 3, FALSE))</f>
      </c>
    </row>
    <row r="355">
      <c r="A355" s="0">
        <f>IF(B355="", "", VLOOKUP(B355, DanhSachCodeId, 3, FALSE))</f>
      </c>
      <c r="C355" s="0">
        <f>IF(B355="", "", VLOOKUP(B355, DanhSachNhanVien, 2, FALSE))</f>
      </c>
      <c r="Q355" s="0">
        <f>IF(P355="", "", VLOOKUP(P355, DanhSachNhanVien, 2, FALSE))</f>
      </c>
      <c r="Z355" s="0">
        <f>IF(D355="", "", VLOOKUP(D355, DanhSachLoaiQuyetDinhRange, 2, FALSE))</f>
      </c>
      <c r="AA355" s="0">
        <f>IF(I355="", "", VLOOKUP(I355, DanhSachPhongBanRange, 2, FALSE))</f>
      </c>
      <c r="AB355" s="0">
        <f>IF(J355="", "", VLOOKUP(J355, DanhSachChucDanhRange, 2, FALSE))</f>
      </c>
      <c r="AC355" s="0">
        <f>IF(L355="", "", VLOOKUP(L355, ThangLuongData, 2, FALSE))</f>
      </c>
      <c r="AD355" s="0">
        <f>IF(M355="", "", VLOOKUP(M355, NgachLuongData, 2, FALSE))</f>
      </c>
      <c r="AE355" s="0">
        <f>IF(N355="", "", VLOOKUP(N355, BacLuongData, 2, FALSE))</f>
      </c>
      <c r="AF355" s="0">
        <f>IF(P355="", "", VLOOKUP(P355, DanhSachCodeId, 3, FALSE))</f>
      </c>
    </row>
    <row r="356">
      <c r="A356" s="0">
        <f>IF(B356="", "", VLOOKUP(B356, DanhSachCodeId, 3, FALSE))</f>
      </c>
      <c r="C356" s="0">
        <f>IF(B356="", "", VLOOKUP(B356, DanhSachNhanVien, 2, FALSE))</f>
      </c>
      <c r="Q356" s="0">
        <f>IF(P356="", "", VLOOKUP(P356, DanhSachNhanVien, 2, FALSE))</f>
      </c>
      <c r="Z356" s="0">
        <f>IF(D356="", "", VLOOKUP(D356, DanhSachLoaiQuyetDinhRange, 2, FALSE))</f>
      </c>
      <c r="AA356" s="0">
        <f>IF(I356="", "", VLOOKUP(I356, DanhSachPhongBanRange, 2, FALSE))</f>
      </c>
      <c r="AB356" s="0">
        <f>IF(J356="", "", VLOOKUP(J356, DanhSachChucDanhRange, 2, FALSE))</f>
      </c>
      <c r="AC356" s="0">
        <f>IF(L356="", "", VLOOKUP(L356, ThangLuongData, 2, FALSE))</f>
      </c>
      <c r="AD356" s="0">
        <f>IF(M356="", "", VLOOKUP(M356, NgachLuongData, 2, FALSE))</f>
      </c>
      <c r="AE356" s="0">
        <f>IF(N356="", "", VLOOKUP(N356, BacLuongData, 2, FALSE))</f>
      </c>
      <c r="AF356" s="0">
        <f>IF(P356="", "", VLOOKUP(P356, DanhSachCodeId, 3, FALSE))</f>
      </c>
    </row>
    <row r="357">
      <c r="A357" s="0">
        <f>IF(B357="", "", VLOOKUP(B357, DanhSachCodeId, 3, FALSE))</f>
      </c>
      <c r="C357" s="0">
        <f>IF(B357="", "", VLOOKUP(B357, DanhSachNhanVien, 2, FALSE))</f>
      </c>
      <c r="Q357" s="0">
        <f>IF(P357="", "", VLOOKUP(P357, DanhSachNhanVien, 2, FALSE))</f>
      </c>
      <c r="Z357" s="0">
        <f>IF(D357="", "", VLOOKUP(D357, DanhSachLoaiQuyetDinhRange, 2, FALSE))</f>
      </c>
      <c r="AA357" s="0">
        <f>IF(I357="", "", VLOOKUP(I357, DanhSachPhongBanRange, 2, FALSE))</f>
      </c>
      <c r="AB357" s="0">
        <f>IF(J357="", "", VLOOKUP(J357, DanhSachChucDanhRange, 2, FALSE))</f>
      </c>
      <c r="AC357" s="0">
        <f>IF(L357="", "", VLOOKUP(L357, ThangLuongData, 2, FALSE))</f>
      </c>
      <c r="AD357" s="0">
        <f>IF(M357="", "", VLOOKUP(M357, NgachLuongData, 2, FALSE))</f>
      </c>
      <c r="AE357" s="0">
        <f>IF(N357="", "", VLOOKUP(N357, BacLuongData, 2, FALSE))</f>
      </c>
      <c r="AF357" s="0">
        <f>IF(P357="", "", VLOOKUP(P357, DanhSachCodeId, 3, FALSE))</f>
      </c>
    </row>
    <row r="358">
      <c r="A358" s="0">
        <f>IF(B358="", "", VLOOKUP(B358, DanhSachCodeId, 3, FALSE))</f>
      </c>
      <c r="C358" s="0">
        <f>IF(B358="", "", VLOOKUP(B358, DanhSachNhanVien, 2, FALSE))</f>
      </c>
      <c r="Q358" s="0">
        <f>IF(P358="", "", VLOOKUP(P358, DanhSachNhanVien, 2, FALSE))</f>
      </c>
      <c r="Z358" s="0">
        <f>IF(D358="", "", VLOOKUP(D358, DanhSachLoaiQuyetDinhRange, 2, FALSE))</f>
      </c>
      <c r="AA358" s="0">
        <f>IF(I358="", "", VLOOKUP(I358, DanhSachPhongBanRange, 2, FALSE))</f>
      </c>
      <c r="AB358" s="0">
        <f>IF(J358="", "", VLOOKUP(J358, DanhSachChucDanhRange, 2, FALSE))</f>
      </c>
      <c r="AC358" s="0">
        <f>IF(L358="", "", VLOOKUP(L358, ThangLuongData, 2, FALSE))</f>
      </c>
      <c r="AD358" s="0">
        <f>IF(M358="", "", VLOOKUP(M358, NgachLuongData, 2, FALSE))</f>
      </c>
      <c r="AE358" s="0">
        <f>IF(N358="", "", VLOOKUP(N358, BacLuongData, 2, FALSE))</f>
      </c>
      <c r="AF358" s="0">
        <f>IF(P358="", "", VLOOKUP(P358, DanhSachCodeId, 3, FALSE))</f>
      </c>
    </row>
    <row r="359">
      <c r="A359" s="0">
        <f>IF(B359="", "", VLOOKUP(B359, DanhSachCodeId, 3, FALSE))</f>
      </c>
      <c r="C359" s="0">
        <f>IF(B359="", "", VLOOKUP(B359, DanhSachNhanVien, 2, FALSE))</f>
      </c>
      <c r="Q359" s="0">
        <f>IF(P359="", "", VLOOKUP(P359, DanhSachNhanVien, 2, FALSE))</f>
      </c>
      <c r="Z359" s="0">
        <f>IF(D359="", "", VLOOKUP(D359, DanhSachLoaiQuyetDinhRange, 2, FALSE))</f>
      </c>
      <c r="AA359" s="0">
        <f>IF(I359="", "", VLOOKUP(I359, DanhSachPhongBanRange, 2, FALSE))</f>
      </c>
      <c r="AB359" s="0">
        <f>IF(J359="", "", VLOOKUP(J359, DanhSachChucDanhRange, 2, FALSE))</f>
      </c>
      <c r="AC359" s="0">
        <f>IF(L359="", "", VLOOKUP(L359, ThangLuongData, 2, FALSE))</f>
      </c>
      <c r="AD359" s="0">
        <f>IF(M359="", "", VLOOKUP(M359, NgachLuongData, 2, FALSE))</f>
      </c>
      <c r="AE359" s="0">
        <f>IF(N359="", "", VLOOKUP(N359, BacLuongData, 2, FALSE))</f>
      </c>
      <c r="AF359" s="0">
        <f>IF(P359="", "", VLOOKUP(P359, DanhSachCodeId, 3, FALSE))</f>
      </c>
    </row>
    <row r="360">
      <c r="A360" s="0">
        <f>IF(B360="", "", VLOOKUP(B360, DanhSachCodeId, 3, FALSE))</f>
      </c>
      <c r="C360" s="0">
        <f>IF(B360="", "", VLOOKUP(B360, DanhSachNhanVien, 2, FALSE))</f>
      </c>
      <c r="Q360" s="0">
        <f>IF(P360="", "", VLOOKUP(P360, DanhSachNhanVien, 2, FALSE))</f>
      </c>
      <c r="Z360" s="0">
        <f>IF(D360="", "", VLOOKUP(D360, DanhSachLoaiQuyetDinhRange, 2, FALSE))</f>
      </c>
      <c r="AA360" s="0">
        <f>IF(I360="", "", VLOOKUP(I360, DanhSachPhongBanRange, 2, FALSE))</f>
      </c>
      <c r="AB360" s="0">
        <f>IF(J360="", "", VLOOKUP(J360, DanhSachChucDanhRange, 2, FALSE))</f>
      </c>
      <c r="AC360" s="0">
        <f>IF(L360="", "", VLOOKUP(L360, ThangLuongData, 2, FALSE))</f>
      </c>
      <c r="AD360" s="0">
        <f>IF(M360="", "", VLOOKUP(M360, NgachLuongData, 2, FALSE))</f>
      </c>
      <c r="AE360" s="0">
        <f>IF(N360="", "", VLOOKUP(N360, BacLuongData, 2, FALSE))</f>
      </c>
      <c r="AF360" s="0">
        <f>IF(P360="", "", VLOOKUP(P360, DanhSachCodeId, 3, FALSE))</f>
      </c>
    </row>
    <row r="361">
      <c r="A361" s="0">
        <f>IF(B361="", "", VLOOKUP(B361, DanhSachCodeId, 3, FALSE))</f>
      </c>
      <c r="C361" s="0">
        <f>IF(B361="", "", VLOOKUP(B361, DanhSachNhanVien, 2, FALSE))</f>
      </c>
      <c r="Q361" s="0">
        <f>IF(P361="", "", VLOOKUP(P361, DanhSachNhanVien, 2, FALSE))</f>
      </c>
      <c r="Z361" s="0">
        <f>IF(D361="", "", VLOOKUP(D361, DanhSachLoaiQuyetDinhRange, 2, FALSE))</f>
      </c>
      <c r="AA361" s="0">
        <f>IF(I361="", "", VLOOKUP(I361, DanhSachPhongBanRange, 2, FALSE))</f>
      </c>
      <c r="AB361" s="0">
        <f>IF(J361="", "", VLOOKUP(J361, DanhSachChucDanhRange, 2, FALSE))</f>
      </c>
      <c r="AC361" s="0">
        <f>IF(L361="", "", VLOOKUP(L361, ThangLuongData, 2, FALSE))</f>
      </c>
      <c r="AD361" s="0">
        <f>IF(M361="", "", VLOOKUP(M361, NgachLuongData, 2, FALSE))</f>
      </c>
      <c r="AE361" s="0">
        <f>IF(N361="", "", VLOOKUP(N361, BacLuongData, 2, FALSE))</f>
      </c>
      <c r="AF361" s="0">
        <f>IF(P361="", "", VLOOKUP(P361, DanhSachCodeId, 3, FALSE))</f>
      </c>
    </row>
    <row r="362">
      <c r="A362" s="0">
        <f>IF(B362="", "", VLOOKUP(B362, DanhSachCodeId, 3, FALSE))</f>
      </c>
      <c r="C362" s="0">
        <f>IF(B362="", "", VLOOKUP(B362, DanhSachNhanVien, 2, FALSE))</f>
      </c>
      <c r="Q362" s="0">
        <f>IF(P362="", "", VLOOKUP(P362, DanhSachNhanVien, 2, FALSE))</f>
      </c>
      <c r="Z362" s="0">
        <f>IF(D362="", "", VLOOKUP(D362, DanhSachLoaiQuyetDinhRange, 2, FALSE))</f>
      </c>
      <c r="AA362" s="0">
        <f>IF(I362="", "", VLOOKUP(I362, DanhSachPhongBanRange, 2, FALSE))</f>
      </c>
      <c r="AB362" s="0">
        <f>IF(J362="", "", VLOOKUP(J362, DanhSachChucDanhRange, 2, FALSE))</f>
      </c>
      <c r="AC362" s="0">
        <f>IF(L362="", "", VLOOKUP(L362, ThangLuongData, 2, FALSE))</f>
      </c>
      <c r="AD362" s="0">
        <f>IF(M362="", "", VLOOKUP(M362, NgachLuongData, 2, FALSE))</f>
      </c>
      <c r="AE362" s="0">
        <f>IF(N362="", "", VLOOKUP(N362, BacLuongData, 2, FALSE))</f>
      </c>
      <c r="AF362" s="0">
        <f>IF(P362="", "", VLOOKUP(P362, DanhSachCodeId, 3, FALSE))</f>
      </c>
    </row>
    <row r="363">
      <c r="A363" s="0">
        <f>IF(B363="", "", VLOOKUP(B363, DanhSachCodeId, 3, FALSE))</f>
      </c>
      <c r="C363" s="0">
        <f>IF(B363="", "", VLOOKUP(B363, DanhSachNhanVien, 2, FALSE))</f>
      </c>
      <c r="Q363" s="0">
        <f>IF(P363="", "", VLOOKUP(P363, DanhSachNhanVien, 2, FALSE))</f>
      </c>
      <c r="Z363" s="0">
        <f>IF(D363="", "", VLOOKUP(D363, DanhSachLoaiQuyetDinhRange, 2, FALSE))</f>
      </c>
      <c r="AA363" s="0">
        <f>IF(I363="", "", VLOOKUP(I363, DanhSachPhongBanRange, 2, FALSE))</f>
      </c>
      <c r="AB363" s="0">
        <f>IF(J363="", "", VLOOKUP(J363, DanhSachChucDanhRange, 2, FALSE))</f>
      </c>
      <c r="AC363" s="0">
        <f>IF(L363="", "", VLOOKUP(L363, ThangLuongData, 2, FALSE))</f>
      </c>
      <c r="AD363" s="0">
        <f>IF(M363="", "", VLOOKUP(M363, NgachLuongData, 2, FALSE))</f>
      </c>
      <c r="AE363" s="0">
        <f>IF(N363="", "", VLOOKUP(N363, BacLuongData, 2, FALSE))</f>
      </c>
      <c r="AF363" s="0">
        <f>IF(P363="", "", VLOOKUP(P363, DanhSachCodeId, 3, FALSE))</f>
      </c>
    </row>
    <row r="364">
      <c r="A364" s="0">
        <f>IF(B364="", "", VLOOKUP(B364, DanhSachCodeId, 3, FALSE))</f>
      </c>
      <c r="C364" s="0">
        <f>IF(B364="", "", VLOOKUP(B364, DanhSachNhanVien, 2, FALSE))</f>
      </c>
      <c r="Q364" s="0">
        <f>IF(P364="", "", VLOOKUP(P364, DanhSachNhanVien, 2, FALSE))</f>
      </c>
      <c r="Z364" s="0">
        <f>IF(D364="", "", VLOOKUP(D364, DanhSachLoaiQuyetDinhRange, 2, FALSE))</f>
      </c>
      <c r="AA364" s="0">
        <f>IF(I364="", "", VLOOKUP(I364, DanhSachPhongBanRange, 2, FALSE))</f>
      </c>
      <c r="AB364" s="0">
        <f>IF(J364="", "", VLOOKUP(J364, DanhSachChucDanhRange, 2, FALSE))</f>
      </c>
      <c r="AC364" s="0">
        <f>IF(L364="", "", VLOOKUP(L364, ThangLuongData, 2, FALSE))</f>
      </c>
      <c r="AD364" s="0">
        <f>IF(M364="", "", VLOOKUP(M364, NgachLuongData, 2, FALSE))</f>
      </c>
      <c r="AE364" s="0">
        <f>IF(N364="", "", VLOOKUP(N364, BacLuongData, 2, FALSE))</f>
      </c>
      <c r="AF364" s="0">
        <f>IF(P364="", "", VLOOKUP(P364, DanhSachCodeId, 3, FALSE))</f>
      </c>
    </row>
    <row r="365">
      <c r="A365" s="0">
        <f>IF(B365="", "", VLOOKUP(B365, DanhSachCodeId, 3, FALSE))</f>
      </c>
      <c r="C365" s="0">
        <f>IF(B365="", "", VLOOKUP(B365, DanhSachNhanVien, 2, FALSE))</f>
      </c>
      <c r="Q365" s="0">
        <f>IF(P365="", "", VLOOKUP(P365, DanhSachNhanVien, 2, FALSE))</f>
      </c>
      <c r="Z365" s="0">
        <f>IF(D365="", "", VLOOKUP(D365, DanhSachLoaiQuyetDinhRange, 2, FALSE))</f>
      </c>
      <c r="AA365" s="0">
        <f>IF(I365="", "", VLOOKUP(I365, DanhSachPhongBanRange, 2, FALSE))</f>
      </c>
      <c r="AB365" s="0">
        <f>IF(J365="", "", VLOOKUP(J365, DanhSachChucDanhRange, 2, FALSE))</f>
      </c>
      <c r="AC365" s="0">
        <f>IF(L365="", "", VLOOKUP(L365, ThangLuongData, 2, FALSE))</f>
      </c>
      <c r="AD365" s="0">
        <f>IF(M365="", "", VLOOKUP(M365, NgachLuongData, 2, FALSE))</f>
      </c>
      <c r="AE365" s="0">
        <f>IF(N365="", "", VLOOKUP(N365, BacLuongData, 2, FALSE))</f>
      </c>
      <c r="AF365" s="0">
        <f>IF(P365="", "", VLOOKUP(P365, DanhSachCodeId, 3, FALSE))</f>
      </c>
    </row>
    <row r="366">
      <c r="A366" s="0">
        <f>IF(B366="", "", VLOOKUP(B366, DanhSachCodeId, 3, FALSE))</f>
      </c>
      <c r="C366" s="0">
        <f>IF(B366="", "", VLOOKUP(B366, DanhSachNhanVien, 2, FALSE))</f>
      </c>
      <c r="Q366" s="0">
        <f>IF(P366="", "", VLOOKUP(P366, DanhSachNhanVien, 2, FALSE))</f>
      </c>
      <c r="Z366" s="0">
        <f>IF(D366="", "", VLOOKUP(D366, DanhSachLoaiQuyetDinhRange, 2, FALSE))</f>
      </c>
      <c r="AA366" s="0">
        <f>IF(I366="", "", VLOOKUP(I366, DanhSachPhongBanRange, 2, FALSE))</f>
      </c>
      <c r="AB366" s="0">
        <f>IF(J366="", "", VLOOKUP(J366, DanhSachChucDanhRange, 2, FALSE))</f>
      </c>
      <c r="AC366" s="0">
        <f>IF(L366="", "", VLOOKUP(L366, ThangLuongData, 2, FALSE))</f>
      </c>
      <c r="AD366" s="0">
        <f>IF(M366="", "", VLOOKUP(M366, NgachLuongData, 2, FALSE))</f>
      </c>
      <c r="AE366" s="0">
        <f>IF(N366="", "", VLOOKUP(N366, BacLuongData, 2, FALSE))</f>
      </c>
      <c r="AF366" s="0">
        <f>IF(P366="", "", VLOOKUP(P366, DanhSachCodeId, 3, FALSE))</f>
      </c>
    </row>
    <row r="367">
      <c r="A367" s="0">
        <f>IF(B367="", "", VLOOKUP(B367, DanhSachCodeId, 3, FALSE))</f>
      </c>
      <c r="C367" s="0">
        <f>IF(B367="", "", VLOOKUP(B367, DanhSachNhanVien, 2, FALSE))</f>
      </c>
      <c r="Q367" s="0">
        <f>IF(P367="", "", VLOOKUP(P367, DanhSachNhanVien, 2, FALSE))</f>
      </c>
      <c r="Z367" s="0">
        <f>IF(D367="", "", VLOOKUP(D367, DanhSachLoaiQuyetDinhRange, 2, FALSE))</f>
      </c>
      <c r="AA367" s="0">
        <f>IF(I367="", "", VLOOKUP(I367, DanhSachPhongBanRange, 2, FALSE))</f>
      </c>
      <c r="AB367" s="0">
        <f>IF(J367="", "", VLOOKUP(J367, DanhSachChucDanhRange, 2, FALSE))</f>
      </c>
      <c r="AC367" s="0">
        <f>IF(L367="", "", VLOOKUP(L367, ThangLuongData, 2, FALSE))</f>
      </c>
      <c r="AD367" s="0">
        <f>IF(M367="", "", VLOOKUP(M367, NgachLuongData, 2, FALSE))</f>
      </c>
      <c r="AE367" s="0">
        <f>IF(N367="", "", VLOOKUP(N367, BacLuongData, 2, FALSE))</f>
      </c>
      <c r="AF367" s="0">
        <f>IF(P367="", "", VLOOKUP(P367, DanhSachCodeId, 3, FALSE))</f>
      </c>
    </row>
    <row r="368">
      <c r="A368" s="0">
        <f>IF(B368="", "", VLOOKUP(B368, DanhSachCodeId, 3, FALSE))</f>
      </c>
      <c r="C368" s="0">
        <f>IF(B368="", "", VLOOKUP(B368, DanhSachNhanVien, 2, FALSE))</f>
      </c>
      <c r="Q368" s="0">
        <f>IF(P368="", "", VLOOKUP(P368, DanhSachNhanVien, 2, FALSE))</f>
      </c>
      <c r="Z368" s="0">
        <f>IF(D368="", "", VLOOKUP(D368, DanhSachLoaiQuyetDinhRange, 2, FALSE))</f>
      </c>
      <c r="AA368" s="0">
        <f>IF(I368="", "", VLOOKUP(I368, DanhSachPhongBanRange, 2, FALSE))</f>
      </c>
      <c r="AB368" s="0">
        <f>IF(J368="", "", VLOOKUP(J368, DanhSachChucDanhRange, 2, FALSE))</f>
      </c>
      <c r="AC368" s="0">
        <f>IF(L368="", "", VLOOKUP(L368, ThangLuongData, 2, FALSE))</f>
      </c>
      <c r="AD368" s="0">
        <f>IF(M368="", "", VLOOKUP(M368, NgachLuongData, 2, FALSE))</f>
      </c>
      <c r="AE368" s="0">
        <f>IF(N368="", "", VLOOKUP(N368, BacLuongData, 2, FALSE))</f>
      </c>
      <c r="AF368" s="0">
        <f>IF(P368="", "", VLOOKUP(P368, DanhSachCodeId, 3, FALSE))</f>
      </c>
    </row>
    <row r="369">
      <c r="A369" s="0">
        <f>IF(B369="", "", VLOOKUP(B369, DanhSachCodeId, 3, FALSE))</f>
      </c>
      <c r="C369" s="0">
        <f>IF(B369="", "", VLOOKUP(B369, DanhSachNhanVien, 2, FALSE))</f>
      </c>
      <c r="Q369" s="0">
        <f>IF(P369="", "", VLOOKUP(P369, DanhSachNhanVien, 2, FALSE))</f>
      </c>
      <c r="Z369" s="0">
        <f>IF(D369="", "", VLOOKUP(D369, DanhSachLoaiQuyetDinhRange, 2, FALSE))</f>
      </c>
      <c r="AA369" s="0">
        <f>IF(I369="", "", VLOOKUP(I369, DanhSachPhongBanRange, 2, FALSE))</f>
      </c>
      <c r="AB369" s="0">
        <f>IF(J369="", "", VLOOKUP(J369, DanhSachChucDanhRange, 2, FALSE))</f>
      </c>
      <c r="AC369" s="0">
        <f>IF(L369="", "", VLOOKUP(L369, ThangLuongData, 2, FALSE))</f>
      </c>
      <c r="AD369" s="0">
        <f>IF(M369="", "", VLOOKUP(M369, NgachLuongData, 2, FALSE))</f>
      </c>
      <c r="AE369" s="0">
        <f>IF(N369="", "", VLOOKUP(N369, BacLuongData, 2, FALSE))</f>
      </c>
      <c r="AF369" s="0">
        <f>IF(P369="", "", VLOOKUP(P369, DanhSachCodeId, 3, FALSE))</f>
      </c>
    </row>
    <row r="370">
      <c r="A370" s="0">
        <f>IF(B370="", "", VLOOKUP(B370, DanhSachCodeId, 3, FALSE))</f>
      </c>
      <c r="C370" s="0">
        <f>IF(B370="", "", VLOOKUP(B370, DanhSachNhanVien, 2, FALSE))</f>
      </c>
      <c r="Q370" s="0">
        <f>IF(P370="", "", VLOOKUP(P370, DanhSachNhanVien, 2, FALSE))</f>
      </c>
      <c r="Z370" s="0">
        <f>IF(D370="", "", VLOOKUP(D370, DanhSachLoaiQuyetDinhRange, 2, FALSE))</f>
      </c>
      <c r="AA370" s="0">
        <f>IF(I370="", "", VLOOKUP(I370, DanhSachPhongBanRange, 2, FALSE))</f>
      </c>
      <c r="AB370" s="0">
        <f>IF(J370="", "", VLOOKUP(J370, DanhSachChucDanhRange, 2, FALSE))</f>
      </c>
      <c r="AC370" s="0">
        <f>IF(L370="", "", VLOOKUP(L370, ThangLuongData, 2, FALSE))</f>
      </c>
      <c r="AD370" s="0">
        <f>IF(M370="", "", VLOOKUP(M370, NgachLuongData, 2, FALSE))</f>
      </c>
      <c r="AE370" s="0">
        <f>IF(N370="", "", VLOOKUP(N370, BacLuongData, 2, FALSE))</f>
      </c>
      <c r="AF370" s="0">
        <f>IF(P370="", "", VLOOKUP(P370, DanhSachCodeId, 3, FALSE))</f>
      </c>
    </row>
    <row r="371">
      <c r="A371" s="0">
        <f>IF(B371="", "", VLOOKUP(B371, DanhSachCodeId, 3, FALSE))</f>
      </c>
      <c r="C371" s="0">
        <f>IF(B371="", "", VLOOKUP(B371, DanhSachNhanVien, 2, FALSE))</f>
      </c>
      <c r="Q371" s="0">
        <f>IF(P371="", "", VLOOKUP(P371, DanhSachNhanVien, 2, FALSE))</f>
      </c>
      <c r="Z371" s="0">
        <f>IF(D371="", "", VLOOKUP(D371, DanhSachLoaiQuyetDinhRange, 2, FALSE))</f>
      </c>
      <c r="AA371" s="0">
        <f>IF(I371="", "", VLOOKUP(I371, DanhSachPhongBanRange, 2, FALSE))</f>
      </c>
      <c r="AB371" s="0">
        <f>IF(J371="", "", VLOOKUP(J371, DanhSachChucDanhRange, 2, FALSE))</f>
      </c>
      <c r="AC371" s="0">
        <f>IF(L371="", "", VLOOKUP(L371, ThangLuongData, 2, FALSE))</f>
      </c>
      <c r="AD371" s="0">
        <f>IF(M371="", "", VLOOKUP(M371, NgachLuongData, 2, FALSE))</f>
      </c>
      <c r="AE371" s="0">
        <f>IF(N371="", "", VLOOKUP(N371, BacLuongData, 2, FALSE))</f>
      </c>
      <c r="AF371" s="0">
        <f>IF(P371="", "", VLOOKUP(P371, DanhSachCodeId, 3, FALSE))</f>
      </c>
    </row>
    <row r="372">
      <c r="A372" s="0">
        <f>IF(B372="", "", VLOOKUP(B372, DanhSachCodeId, 3, FALSE))</f>
      </c>
      <c r="C372" s="0">
        <f>IF(B372="", "", VLOOKUP(B372, DanhSachNhanVien, 2, FALSE))</f>
      </c>
      <c r="Q372" s="0">
        <f>IF(P372="", "", VLOOKUP(P372, DanhSachNhanVien, 2, FALSE))</f>
      </c>
      <c r="Z372" s="0">
        <f>IF(D372="", "", VLOOKUP(D372, DanhSachLoaiQuyetDinhRange, 2, FALSE))</f>
      </c>
      <c r="AA372" s="0">
        <f>IF(I372="", "", VLOOKUP(I372, DanhSachPhongBanRange, 2, FALSE))</f>
      </c>
      <c r="AB372" s="0">
        <f>IF(J372="", "", VLOOKUP(J372, DanhSachChucDanhRange, 2, FALSE))</f>
      </c>
      <c r="AC372" s="0">
        <f>IF(L372="", "", VLOOKUP(L372, ThangLuongData, 2, FALSE))</f>
      </c>
      <c r="AD372" s="0">
        <f>IF(M372="", "", VLOOKUP(M372, NgachLuongData, 2, FALSE))</f>
      </c>
      <c r="AE372" s="0">
        <f>IF(N372="", "", VLOOKUP(N372, BacLuongData, 2, FALSE))</f>
      </c>
      <c r="AF372" s="0">
        <f>IF(P372="", "", VLOOKUP(P372, DanhSachCodeId, 3, FALSE))</f>
      </c>
    </row>
    <row r="373">
      <c r="A373" s="0">
        <f>IF(B373="", "", VLOOKUP(B373, DanhSachCodeId, 3, FALSE))</f>
      </c>
      <c r="C373" s="0">
        <f>IF(B373="", "", VLOOKUP(B373, DanhSachNhanVien, 2, FALSE))</f>
      </c>
      <c r="Q373" s="0">
        <f>IF(P373="", "", VLOOKUP(P373, DanhSachNhanVien, 2, FALSE))</f>
      </c>
      <c r="Z373" s="0">
        <f>IF(D373="", "", VLOOKUP(D373, DanhSachLoaiQuyetDinhRange, 2, FALSE))</f>
      </c>
      <c r="AA373" s="0">
        <f>IF(I373="", "", VLOOKUP(I373, DanhSachPhongBanRange, 2, FALSE))</f>
      </c>
      <c r="AB373" s="0">
        <f>IF(J373="", "", VLOOKUP(J373, DanhSachChucDanhRange, 2, FALSE))</f>
      </c>
      <c r="AC373" s="0">
        <f>IF(L373="", "", VLOOKUP(L373, ThangLuongData, 2, FALSE))</f>
      </c>
      <c r="AD373" s="0">
        <f>IF(M373="", "", VLOOKUP(M373, NgachLuongData, 2, FALSE))</f>
      </c>
      <c r="AE373" s="0">
        <f>IF(N373="", "", VLOOKUP(N373, BacLuongData, 2, FALSE))</f>
      </c>
      <c r="AF373" s="0">
        <f>IF(P373="", "", VLOOKUP(P373, DanhSachCodeId, 3, FALSE))</f>
      </c>
    </row>
    <row r="374">
      <c r="A374" s="0">
        <f>IF(B374="", "", VLOOKUP(B374, DanhSachCodeId, 3, FALSE))</f>
      </c>
      <c r="C374" s="0">
        <f>IF(B374="", "", VLOOKUP(B374, DanhSachNhanVien, 2, FALSE))</f>
      </c>
      <c r="Q374" s="0">
        <f>IF(P374="", "", VLOOKUP(P374, DanhSachNhanVien, 2, FALSE))</f>
      </c>
      <c r="Z374" s="0">
        <f>IF(D374="", "", VLOOKUP(D374, DanhSachLoaiQuyetDinhRange, 2, FALSE))</f>
      </c>
      <c r="AA374" s="0">
        <f>IF(I374="", "", VLOOKUP(I374, DanhSachPhongBanRange, 2, FALSE))</f>
      </c>
      <c r="AB374" s="0">
        <f>IF(J374="", "", VLOOKUP(J374, DanhSachChucDanhRange, 2, FALSE))</f>
      </c>
      <c r="AC374" s="0">
        <f>IF(L374="", "", VLOOKUP(L374, ThangLuongData, 2, FALSE))</f>
      </c>
      <c r="AD374" s="0">
        <f>IF(M374="", "", VLOOKUP(M374, NgachLuongData, 2, FALSE))</f>
      </c>
      <c r="AE374" s="0">
        <f>IF(N374="", "", VLOOKUP(N374, BacLuongData, 2, FALSE))</f>
      </c>
      <c r="AF374" s="0">
        <f>IF(P374="", "", VLOOKUP(P374, DanhSachCodeId, 3, FALSE))</f>
      </c>
    </row>
    <row r="375">
      <c r="A375" s="0">
        <f>IF(B375="", "", VLOOKUP(B375, DanhSachCodeId, 3, FALSE))</f>
      </c>
      <c r="C375" s="0">
        <f>IF(B375="", "", VLOOKUP(B375, DanhSachNhanVien, 2, FALSE))</f>
      </c>
      <c r="Q375" s="0">
        <f>IF(P375="", "", VLOOKUP(P375, DanhSachNhanVien, 2, FALSE))</f>
      </c>
      <c r="Z375" s="0">
        <f>IF(D375="", "", VLOOKUP(D375, DanhSachLoaiQuyetDinhRange, 2, FALSE))</f>
      </c>
      <c r="AA375" s="0">
        <f>IF(I375="", "", VLOOKUP(I375, DanhSachPhongBanRange, 2, FALSE))</f>
      </c>
      <c r="AB375" s="0">
        <f>IF(J375="", "", VLOOKUP(J375, DanhSachChucDanhRange, 2, FALSE))</f>
      </c>
      <c r="AC375" s="0">
        <f>IF(L375="", "", VLOOKUP(L375, ThangLuongData, 2, FALSE))</f>
      </c>
      <c r="AD375" s="0">
        <f>IF(M375="", "", VLOOKUP(M375, NgachLuongData, 2, FALSE))</f>
      </c>
      <c r="AE375" s="0">
        <f>IF(N375="", "", VLOOKUP(N375, BacLuongData, 2, FALSE))</f>
      </c>
      <c r="AF375" s="0">
        <f>IF(P375="", "", VLOOKUP(P375, DanhSachCodeId, 3, FALSE))</f>
      </c>
    </row>
    <row r="376">
      <c r="A376" s="0">
        <f>IF(B376="", "", VLOOKUP(B376, DanhSachCodeId, 3, FALSE))</f>
      </c>
      <c r="C376" s="0">
        <f>IF(B376="", "", VLOOKUP(B376, DanhSachNhanVien, 2, FALSE))</f>
      </c>
      <c r="Q376" s="0">
        <f>IF(P376="", "", VLOOKUP(P376, DanhSachNhanVien, 2, FALSE))</f>
      </c>
      <c r="Z376" s="0">
        <f>IF(D376="", "", VLOOKUP(D376, DanhSachLoaiQuyetDinhRange, 2, FALSE))</f>
      </c>
      <c r="AA376" s="0">
        <f>IF(I376="", "", VLOOKUP(I376, DanhSachPhongBanRange, 2, FALSE))</f>
      </c>
      <c r="AB376" s="0">
        <f>IF(J376="", "", VLOOKUP(J376, DanhSachChucDanhRange, 2, FALSE))</f>
      </c>
      <c r="AC376" s="0">
        <f>IF(L376="", "", VLOOKUP(L376, ThangLuongData, 2, FALSE))</f>
      </c>
      <c r="AD376" s="0">
        <f>IF(M376="", "", VLOOKUP(M376, NgachLuongData, 2, FALSE))</f>
      </c>
      <c r="AE376" s="0">
        <f>IF(N376="", "", VLOOKUP(N376, BacLuongData, 2, FALSE))</f>
      </c>
      <c r="AF376" s="0">
        <f>IF(P376="", "", VLOOKUP(P376, DanhSachCodeId, 3, FALSE))</f>
      </c>
    </row>
    <row r="377">
      <c r="A377" s="0">
        <f>IF(B377="", "", VLOOKUP(B377, DanhSachCodeId, 3, FALSE))</f>
      </c>
      <c r="C377" s="0">
        <f>IF(B377="", "", VLOOKUP(B377, DanhSachNhanVien, 2, FALSE))</f>
      </c>
      <c r="Q377" s="0">
        <f>IF(P377="", "", VLOOKUP(P377, DanhSachNhanVien, 2, FALSE))</f>
      </c>
      <c r="Z377" s="0">
        <f>IF(D377="", "", VLOOKUP(D377, DanhSachLoaiQuyetDinhRange, 2, FALSE))</f>
      </c>
      <c r="AA377" s="0">
        <f>IF(I377="", "", VLOOKUP(I377, DanhSachPhongBanRange, 2, FALSE))</f>
      </c>
      <c r="AB377" s="0">
        <f>IF(J377="", "", VLOOKUP(J377, DanhSachChucDanhRange, 2, FALSE))</f>
      </c>
      <c r="AC377" s="0">
        <f>IF(L377="", "", VLOOKUP(L377, ThangLuongData, 2, FALSE))</f>
      </c>
      <c r="AD377" s="0">
        <f>IF(M377="", "", VLOOKUP(M377, NgachLuongData, 2, FALSE))</f>
      </c>
      <c r="AE377" s="0">
        <f>IF(N377="", "", VLOOKUP(N377, BacLuongData, 2, FALSE))</f>
      </c>
      <c r="AF377" s="0">
        <f>IF(P377="", "", VLOOKUP(P377, DanhSachCodeId, 3, FALSE))</f>
      </c>
    </row>
    <row r="378">
      <c r="A378" s="0">
        <f>IF(B378="", "", VLOOKUP(B378, DanhSachCodeId, 3, FALSE))</f>
      </c>
      <c r="C378" s="0">
        <f>IF(B378="", "", VLOOKUP(B378, DanhSachNhanVien, 2, FALSE))</f>
      </c>
      <c r="Q378" s="0">
        <f>IF(P378="", "", VLOOKUP(P378, DanhSachNhanVien, 2, FALSE))</f>
      </c>
      <c r="Z378" s="0">
        <f>IF(D378="", "", VLOOKUP(D378, DanhSachLoaiQuyetDinhRange, 2, FALSE))</f>
      </c>
      <c r="AA378" s="0">
        <f>IF(I378="", "", VLOOKUP(I378, DanhSachPhongBanRange, 2, FALSE))</f>
      </c>
      <c r="AB378" s="0">
        <f>IF(J378="", "", VLOOKUP(J378, DanhSachChucDanhRange, 2, FALSE))</f>
      </c>
      <c r="AC378" s="0">
        <f>IF(L378="", "", VLOOKUP(L378, ThangLuongData, 2, FALSE))</f>
      </c>
      <c r="AD378" s="0">
        <f>IF(M378="", "", VLOOKUP(M378, NgachLuongData, 2, FALSE))</f>
      </c>
      <c r="AE378" s="0">
        <f>IF(N378="", "", VLOOKUP(N378, BacLuongData, 2, FALSE))</f>
      </c>
      <c r="AF378" s="0">
        <f>IF(P378="", "", VLOOKUP(P378, DanhSachCodeId, 3, FALSE))</f>
      </c>
    </row>
    <row r="379">
      <c r="A379" s="0">
        <f>IF(B379="", "", VLOOKUP(B379, DanhSachCodeId, 3, FALSE))</f>
      </c>
      <c r="C379" s="0">
        <f>IF(B379="", "", VLOOKUP(B379, DanhSachNhanVien, 2, FALSE))</f>
      </c>
      <c r="Q379" s="0">
        <f>IF(P379="", "", VLOOKUP(P379, DanhSachNhanVien, 2, FALSE))</f>
      </c>
      <c r="Z379" s="0">
        <f>IF(D379="", "", VLOOKUP(D379, DanhSachLoaiQuyetDinhRange, 2, FALSE))</f>
      </c>
      <c r="AA379" s="0">
        <f>IF(I379="", "", VLOOKUP(I379, DanhSachPhongBanRange, 2, FALSE))</f>
      </c>
      <c r="AB379" s="0">
        <f>IF(J379="", "", VLOOKUP(J379, DanhSachChucDanhRange, 2, FALSE))</f>
      </c>
      <c r="AC379" s="0">
        <f>IF(L379="", "", VLOOKUP(L379, ThangLuongData, 2, FALSE))</f>
      </c>
      <c r="AD379" s="0">
        <f>IF(M379="", "", VLOOKUP(M379, NgachLuongData, 2, FALSE))</f>
      </c>
      <c r="AE379" s="0">
        <f>IF(N379="", "", VLOOKUP(N379, BacLuongData, 2, FALSE))</f>
      </c>
      <c r="AF379" s="0">
        <f>IF(P379="", "", VLOOKUP(P379, DanhSachCodeId, 3, FALSE))</f>
      </c>
    </row>
    <row r="380">
      <c r="A380" s="0">
        <f>IF(B380="", "", VLOOKUP(B380, DanhSachCodeId, 3, FALSE))</f>
      </c>
      <c r="C380" s="0">
        <f>IF(B380="", "", VLOOKUP(B380, DanhSachNhanVien, 2, FALSE))</f>
      </c>
      <c r="Q380" s="0">
        <f>IF(P380="", "", VLOOKUP(P380, DanhSachNhanVien, 2, FALSE))</f>
      </c>
      <c r="Z380" s="0">
        <f>IF(D380="", "", VLOOKUP(D380, DanhSachLoaiQuyetDinhRange, 2, FALSE))</f>
      </c>
      <c r="AA380" s="0">
        <f>IF(I380="", "", VLOOKUP(I380, DanhSachPhongBanRange, 2, FALSE))</f>
      </c>
      <c r="AB380" s="0">
        <f>IF(J380="", "", VLOOKUP(J380, DanhSachChucDanhRange, 2, FALSE))</f>
      </c>
      <c r="AC380" s="0">
        <f>IF(L380="", "", VLOOKUP(L380, ThangLuongData, 2, FALSE))</f>
      </c>
      <c r="AD380" s="0">
        <f>IF(M380="", "", VLOOKUP(M380, NgachLuongData, 2, FALSE))</f>
      </c>
      <c r="AE380" s="0">
        <f>IF(N380="", "", VLOOKUP(N380, BacLuongData, 2, FALSE))</f>
      </c>
      <c r="AF380" s="0">
        <f>IF(P380="", "", VLOOKUP(P380, DanhSachCodeId, 3, FALSE))</f>
      </c>
    </row>
    <row r="381">
      <c r="A381" s="0">
        <f>IF(B381="", "", VLOOKUP(B381, DanhSachCodeId, 3, FALSE))</f>
      </c>
      <c r="C381" s="0">
        <f>IF(B381="", "", VLOOKUP(B381, DanhSachNhanVien, 2, FALSE))</f>
      </c>
      <c r="Q381" s="0">
        <f>IF(P381="", "", VLOOKUP(P381, DanhSachNhanVien, 2, FALSE))</f>
      </c>
      <c r="Z381" s="0">
        <f>IF(D381="", "", VLOOKUP(D381, DanhSachLoaiQuyetDinhRange, 2, FALSE))</f>
      </c>
      <c r="AA381" s="0">
        <f>IF(I381="", "", VLOOKUP(I381, DanhSachPhongBanRange, 2, FALSE))</f>
      </c>
      <c r="AB381" s="0">
        <f>IF(J381="", "", VLOOKUP(J381, DanhSachChucDanhRange, 2, FALSE))</f>
      </c>
      <c r="AC381" s="0">
        <f>IF(L381="", "", VLOOKUP(L381, ThangLuongData, 2, FALSE))</f>
      </c>
      <c r="AD381" s="0">
        <f>IF(M381="", "", VLOOKUP(M381, NgachLuongData, 2, FALSE))</f>
      </c>
      <c r="AE381" s="0">
        <f>IF(N381="", "", VLOOKUP(N381, BacLuongData, 2, FALSE))</f>
      </c>
      <c r="AF381" s="0">
        <f>IF(P381="", "", VLOOKUP(P381, DanhSachCodeId, 3, FALSE))</f>
      </c>
    </row>
    <row r="382">
      <c r="A382" s="0">
        <f>IF(B382="", "", VLOOKUP(B382, DanhSachCodeId, 3, FALSE))</f>
      </c>
      <c r="C382" s="0">
        <f>IF(B382="", "", VLOOKUP(B382, DanhSachNhanVien, 2, FALSE))</f>
      </c>
      <c r="Q382" s="0">
        <f>IF(P382="", "", VLOOKUP(P382, DanhSachNhanVien, 2, FALSE))</f>
      </c>
      <c r="Z382" s="0">
        <f>IF(D382="", "", VLOOKUP(D382, DanhSachLoaiQuyetDinhRange, 2, FALSE))</f>
      </c>
      <c r="AA382" s="0">
        <f>IF(I382="", "", VLOOKUP(I382, DanhSachPhongBanRange, 2, FALSE))</f>
      </c>
      <c r="AB382" s="0">
        <f>IF(J382="", "", VLOOKUP(J382, DanhSachChucDanhRange, 2, FALSE))</f>
      </c>
      <c r="AC382" s="0">
        <f>IF(L382="", "", VLOOKUP(L382, ThangLuongData, 2, FALSE))</f>
      </c>
      <c r="AD382" s="0">
        <f>IF(M382="", "", VLOOKUP(M382, NgachLuongData, 2, FALSE))</f>
      </c>
      <c r="AE382" s="0">
        <f>IF(N382="", "", VLOOKUP(N382, BacLuongData, 2, FALSE))</f>
      </c>
      <c r="AF382" s="0">
        <f>IF(P382="", "", VLOOKUP(P382, DanhSachCodeId, 3, FALSE))</f>
      </c>
    </row>
    <row r="383">
      <c r="A383" s="0">
        <f>IF(B383="", "", VLOOKUP(B383, DanhSachCodeId, 3, FALSE))</f>
      </c>
      <c r="C383" s="0">
        <f>IF(B383="", "", VLOOKUP(B383, DanhSachNhanVien, 2, FALSE))</f>
      </c>
      <c r="Q383" s="0">
        <f>IF(P383="", "", VLOOKUP(P383, DanhSachNhanVien, 2, FALSE))</f>
      </c>
      <c r="Z383" s="0">
        <f>IF(D383="", "", VLOOKUP(D383, DanhSachLoaiQuyetDinhRange, 2, FALSE))</f>
      </c>
      <c r="AA383" s="0">
        <f>IF(I383="", "", VLOOKUP(I383, DanhSachPhongBanRange, 2, FALSE))</f>
      </c>
      <c r="AB383" s="0">
        <f>IF(J383="", "", VLOOKUP(J383, DanhSachChucDanhRange, 2, FALSE))</f>
      </c>
      <c r="AC383" s="0">
        <f>IF(L383="", "", VLOOKUP(L383, ThangLuongData, 2, FALSE))</f>
      </c>
      <c r="AD383" s="0">
        <f>IF(M383="", "", VLOOKUP(M383, NgachLuongData, 2, FALSE))</f>
      </c>
      <c r="AE383" s="0">
        <f>IF(N383="", "", VLOOKUP(N383, BacLuongData, 2, FALSE))</f>
      </c>
      <c r="AF383" s="0">
        <f>IF(P383="", "", VLOOKUP(P383, DanhSachCodeId, 3, FALSE))</f>
      </c>
    </row>
    <row r="384">
      <c r="A384" s="0">
        <f>IF(B384="", "", VLOOKUP(B384, DanhSachCodeId, 3, FALSE))</f>
      </c>
      <c r="C384" s="0">
        <f>IF(B384="", "", VLOOKUP(B384, DanhSachNhanVien, 2, FALSE))</f>
      </c>
      <c r="Q384" s="0">
        <f>IF(P384="", "", VLOOKUP(P384, DanhSachNhanVien, 2, FALSE))</f>
      </c>
      <c r="Z384" s="0">
        <f>IF(D384="", "", VLOOKUP(D384, DanhSachLoaiQuyetDinhRange, 2, FALSE))</f>
      </c>
      <c r="AA384" s="0">
        <f>IF(I384="", "", VLOOKUP(I384, DanhSachPhongBanRange, 2, FALSE))</f>
      </c>
      <c r="AB384" s="0">
        <f>IF(J384="", "", VLOOKUP(J384, DanhSachChucDanhRange, 2, FALSE))</f>
      </c>
      <c r="AC384" s="0">
        <f>IF(L384="", "", VLOOKUP(L384, ThangLuongData, 2, FALSE))</f>
      </c>
      <c r="AD384" s="0">
        <f>IF(M384="", "", VLOOKUP(M384, NgachLuongData, 2, FALSE))</f>
      </c>
      <c r="AE384" s="0">
        <f>IF(N384="", "", VLOOKUP(N384, BacLuongData, 2, FALSE))</f>
      </c>
      <c r="AF384" s="0">
        <f>IF(P384="", "", VLOOKUP(P384, DanhSachCodeId, 3, FALSE))</f>
      </c>
    </row>
    <row r="385">
      <c r="A385" s="0">
        <f>IF(B385="", "", VLOOKUP(B385, DanhSachCodeId, 3, FALSE))</f>
      </c>
      <c r="C385" s="0">
        <f>IF(B385="", "", VLOOKUP(B385, DanhSachNhanVien, 2, FALSE))</f>
      </c>
      <c r="Q385" s="0">
        <f>IF(P385="", "", VLOOKUP(P385, DanhSachNhanVien, 2, FALSE))</f>
      </c>
      <c r="Z385" s="0">
        <f>IF(D385="", "", VLOOKUP(D385, DanhSachLoaiQuyetDinhRange, 2, FALSE))</f>
      </c>
      <c r="AA385" s="0">
        <f>IF(I385="", "", VLOOKUP(I385, DanhSachPhongBanRange, 2, FALSE))</f>
      </c>
      <c r="AB385" s="0">
        <f>IF(J385="", "", VLOOKUP(J385, DanhSachChucDanhRange, 2, FALSE))</f>
      </c>
      <c r="AC385" s="0">
        <f>IF(L385="", "", VLOOKUP(L385, ThangLuongData, 2, FALSE))</f>
      </c>
      <c r="AD385" s="0">
        <f>IF(M385="", "", VLOOKUP(M385, NgachLuongData, 2, FALSE))</f>
      </c>
      <c r="AE385" s="0">
        <f>IF(N385="", "", VLOOKUP(N385, BacLuongData, 2, FALSE))</f>
      </c>
      <c r="AF385" s="0">
        <f>IF(P385="", "", VLOOKUP(P385, DanhSachCodeId, 3, FALSE))</f>
      </c>
    </row>
    <row r="386">
      <c r="A386" s="0">
        <f>IF(B386="", "", VLOOKUP(B386, DanhSachCodeId, 3, FALSE))</f>
      </c>
      <c r="C386" s="0">
        <f>IF(B386="", "", VLOOKUP(B386, DanhSachNhanVien, 2, FALSE))</f>
      </c>
      <c r="Q386" s="0">
        <f>IF(P386="", "", VLOOKUP(P386, DanhSachNhanVien, 2, FALSE))</f>
      </c>
      <c r="Z386" s="0">
        <f>IF(D386="", "", VLOOKUP(D386, DanhSachLoaiQuyetDinhRange, 2, FALSE))</f>
      </c>
      <c r="AA386" s="0">
        <f>IF(I386="", "", VLOOKUP(I386, DanhSachPhongBanRange, 2, FALSE))</f>
      </c>
      <c r="AB386" s="0">
        <f>IF(J386="", "", VLOOKUP(J386, DanhSachChucDanhRange, 2, FALSE))</f>
      </c>
      <c r="AC386" s="0">
        <f>IF(L386="", "", VLOOKUP(L386, ThangLuongData, 2, FALSE))</f>
      </c>
      <c r="AD386" s="0">
        <f>IF(M386="", "", VLOOKUP(M386, NgachLuongData, 2, FALSE))</f>
      </c>
      <c r="AE386" s="0">
        <f>IF(N386="", "", VLOOKUP(N386, BacLuongData, 2, FALSE))</f>
      </c>
      <c r="AF386" s="0">
        <f>IF(P386="", "", VLOOKUP(P386, DanhSachCodeId, 3, FALSE))</f>
      </c>
    </row>
    <row r="387">
      <c r="A387" s="0">
        <f>IF(B387="", "", VLOOKUP(B387, DanhSachCodeId, 3, FALSE))</f>
      </c>
      <c r="C387" s="0">
        <f>IF(B387="", "", VLOOKUP(B387, DanhSachNhanVien, 2, FALSE))</f>
      </c>
      <c r="Q387" s="0">
        <f>IF(P387="", "", VLOOKUP(P387, DanhSachNhanVien, 2, FALSE))</f>
      </c>
      <c r="Z387" s="0">
        <f>IF(D387="", "", VLOOKUP(D387, DanhSachLoaiQuyetDinhRange, 2, FALSE))</f>
      </c>
      <c r="AA387" s="0">
        <f>IF(I387="", "", VLOOKUP(I387, DanhSachPhongBanRange, 2, FALSE))</f>
      </c>
      <c r="AB387" s="0">
        <f>IF(J387="", "", VLOOKUP(J387, DanhSachChucDanhRange, 2, FALSE))</f>
      </c>
      <c r="AC387" s="0">
        <f>IF(L387="", "", VLOOKUP(L387, ThangLuongData, 2, FALSE))</f>
      </c>
      <c r="AD387" s="0">
        <f>IF(M387="", "", VLOOKUP(M387, NgachLuongData, 2, FALSE))</f>
      </c>
      <c r="AE387" s="0">
        <f>IF(N387="", "", VLOOKUP(N387, BacLuongData, 2, FALSE))</f>
      </c>
      <c r="AF387" s="0">
        <f>IF(P387="", "", VLOOKUP(P387, DanhSachCodeId, 3, FALSE))</f>
      </c>
    </row>
    <row r="388">
      <c r="A388" s="0">
        <f>IF(B388="", "", VLOOKUP(B388, DanhSachCodeId, 3, FALSE))</f>
      </c>
      <c r="C388" s="0">
        <f>IF(B388="", "", VLOOKUP(B388, DanhSachNhanVien, 2, FALSE))</f>
      </c>
      <c r="Q388" s="0">
        <f>IF(P388="", "", VLOOKUP(P388, DanhSachNhanVien, 2, FALSE))</f>
      </c>
      <c r="Z388" s="0">
        <f>IF(D388="", "", VLOOKUP(D388, DanhSachLoaiQuyetDinhRange, 2, FALSE))</f>
      </c>
      <c r="AA388" s="0">
        <f>IF(I388="", "", VLOOKUP(I388, DanhSachPhongBanRange, 2, FALSE))</f>
      </c>
      <c r="AB388" s="0">
        <f>IF(J388="", "", VLOOKUP(J388, DanhSachChucDanhRange, 2, FALSE))</f>
      </c>
      <c r="AC388" s="0">
        <f>IF(L388="", "", VLOOKUP(L388, ThangLuongData, 2, FALSE))</f>
      </c>
      <c r="AD388" s="0">
        <f>IF(M388="", "", VLOOKUP(M388, NgachLuongData, 2, FALSE))</f>
      </c>
      <c r="AE388" s="0">
        <f>IF(N388="", "", VLOOKUP(N388, BacLuongData, 2, FALSE))</f>
      </c>
      <c r="AF388" s="0">
        <f>IF(P388="", "", VLOOKUP(P388, DanhSachCodeId, 3, FALSE))</f>
      </c>
    </row>
    <row r="389">
      <c r="A389" s="0">
        <f>IF(B389="", "", VLOOKUP(B389, DanhSachCodeId, 3, FALSE))</f>
      </c>
      <c r="C389" s="0">
        <f>IF(B389="", "", VLOOKUP(B389, DanhSachNhanVien, 2, FALSE))</f>
      </c>
      <c r="Q389" s="0">
        <f>IF(P389="", "", VLOOKUP(P389, DanhSachNhanVien, 2, FALSE))</f>
      </c>
      <c r="Z389" s="0">
        <f>IF(D389="", "", VLOOKUP(D389, DanhSachLoaiQuyetDinhRange, 2, FALSE))</f>
      </c>
      <c r="AA389" s="0">
        <f>IF(I389="", "", VLOOKUP(I389, DanhSachPhongBanRange, 2, FALSE))</f>
      </c>
      <c r="AB389" s="0">
        <f>IF(J389="", "", VLOOKUP(J389, DanhSachChucDanhRange, 2, FALSE))</f>
      </c>
      <c r="AC389" s="0">
        <f>IF(L389="", "", VLOOKUP(L389, ThangLuongData, 2, FALSE))</f>
      </c>
      <c r="AD389" s="0">
        <f>IF(M389="", "", VLOOKUP(M389, NgachLuongData, 2, FALSE))</f>
      </c>
      <c r="AE389" s="0">
        <f>IF(N389="", "", VLOOKUP(N389, BacLuongData, 2, FALSE))</f>
      </c>
      <c r="AF389" s="0">
        <f>IF(P389="", "", VLOOKUP(P389, DanhSachCodeId, 3, FALSE))</f>
      </c>
    </row>
    <row r="390">
      <c r="A390" s="0">
        <f>IF(B390="", "", VLOOKUP(B390, DanhSachCodeId, 3, FALSE))</f>
      </c>
      <c r="C390" s="0">
        <f>IF(B390="", "", VLOOKUP(B390, DanhSachNhanVien, 2, FALSE))</f>
      </c>
      <c r="Q390" s="0">
        <f>IF(P390="", "", VLOOKUP(P390, DanhSachNhanVien, 2, FALSE))</f>
      </c>
      <c r="Z390" s="0">
        <f>IF(D390="", "", VLOOKUP(D390, DanhSachLoaiQuyetDinhRange, 2, FALSE))</f>
      </c>
      <c r="AA390" s="0">
        <f>IF(I390="", "", VLOOKUP(I390, DanhSachPhongBanRange, 2, FALSE))</f>
      </c>
      <c r="AB390" s="0">
        <f>IF(J390="", "", VLOOKUP(J390, DanhSachChucDanhRange, 2, FALSE))</f>
      </c>
      <c r="AC390" s="0">
        <f>IF(L390="", "", VLOOKUP(L390, ThangLuongData, 2, FALSE))</f>
      </c>
      <c r="AD390" s="0">
        <f>IF(M390="", "", VLOOKUP(M390, NgachLuongData, 2, FALSE))</f>
      </c>
      <c r="AE390" s="0">
        <f>IF(N390="", "", VLOOKUP(N390, BacLuongData, 2, FALSE))</f>
      </c>
      <c r="AF390" s="0">
        <f>IF(P390="", "", VLOOKUP(P390, DanhSachCodeId, 3, FALSE))</f>
      </c>
    </row>
    <row r="391">
      <c r="A391" s="0">
        <f>IF(B391="", "", VLOOKUP(B391, DanhSachCodeId, 3, FALSE))</f>
      </c>
      <c r="C391" s="0">
        <f>IF(B391="", "", VLOOKUP(B391, DanhSachNhanVien, 2, FALSE))</f>
      </c>
      <c r="Q391" s="0">
        <f>IF(P391="", "", VLOOKUP(P391, DanhSachNhanVien, 2, FALSE))</f>
      </c>
      <c r="Z391" s="0">
        <f>IF(D391="", "", VLOOKUP(D391, DanhSachLoaiQuyetDinhRange, 2, FALSE))</f>
      </c>
      <c r="AA391" s="0">
        <f>IF(I391="", "", VLOOKUP(I391, DanhSachPhongBanRange, 2, FALSE))</f>
      </c>
      <c r="AB391" s="0">
        <f>IF(J391="", "", VLOOKUP(J391, DanhSachChucDanhRange, 2, FALSE))</f>
      </c>
      <c r="AC391" s="0">
        <f>IF(L391="", "", VLOOKUP(L391, ThangLuongData, 2, FALSE))</f>
      </c>
      <c r="AD391" s="0">
        <f>IF(M391="", "", VLOOKUP(M391, NgachLuongData, 2, FALSE))</f>
      </c>
      <c r="AE391" s="0">
        <f>IF(N391="", "", VLOOKUP(N391, BacLuongData, 2, FALSE))</f>
      </c>
      <c r="AF391" s="0">
        <f>IF(P391="", "", VLOOKUP(P391, DanhSachCodeId, 3, FALSE))</f>
      </c>
    </row>
    <row r="392">
      <c r="A392" s="0">
        <f>IF(B392="", "", VLOOKUP(B392, DanhSachCodeId, 3, FALSE))</f>
      </c>
      <c r="C392" s="0">
        <f>IF(B392="", "", VLOOKUP(B392, DanhSachNhanVien, 2, FALSE))</f>
      </c>
      <c r="Q392" s="0">
        <f>IF(P392="", "", VLOOKUP(P392, DanhSachNhanVien, 2, FALSE))</f>
      </c>
      <c r="Z392" s="0">
        <f>IF(D392="", "", VLOOKUP(D392, DanhSachLoaiQuyetDinhRange, 2, FALSE))</f>
      </c>
      <c r="AA392" s="0">
        <f>IF(I392="", "", VLOOKUP(I392, DanhSachPhongBanRange, 2, FALSE))</f>
      </c>
      <c r="AB392" s="0">
        <f>IF(J392="", "", VLOOKUP(J392, DanhSachChucDanhRange, 2, FALSE))</f>
      </c>
      <c r="AC392" s="0">
        <f>IF(L392="", "", VLOOKUP(L392, ThangLuongData, 2, FALSE))</f>
      </c>
      <c r="AD392" s="0">
        <f>IF(M392="", "", VLOOKUP(M392, NgachLuongData, 2, FALSE))</f>
      </c>
      <c r="AE392" s="0">
        <f>IF(N392="", "", VLOOKUP(N392, BacLuongData, 2, FALSE))</f>
      </c>
      <c r="AF392" s="0">
        <f>IF(P392="", "", VLOOKUP(P392, DanhSachCodeId, 3, FALSE))</f>
      </c>
    </row>
    <row r="393">
      <c r="A393" s="0">
        <f>IF(B393="", "", VLOOKUP(B393, DanhSachCodeId, 3, FALSE))</f>
      </c>
      <c r="C393" s="0">
        <f>IF(B393="", "", VLOOKUP(B393, DanhSachNhanVien, 2, FALSE))</f>
      </c>
      <c r="Q393" s="0">
        <f>IF(P393="", "", VLOOKUP(P393, DanhSachNhanVien, 2, FALSE))</f>
      </c>
      <c r="Z393" s="0">
        <f>IF(D393="", "", VLOOKUP(D393, DanhSachLoaiQuyetDinhRange, 2, FALSE))</f>
      </c>
      <c r="AA393" s="0">
        <f>IF(I393="", "", VLOOKUP(I393, DanhSachPhongBanRange, 2, FALSE))</f>
      </c>
      <c r="AB393" s="0">
        <f>IF(J393="", "", VLOOKUP(J393, DanhSachChucDanhRange, 2, FALSE))</f>
      </c>
      <c r="AC393" s="0">
        <f>IF(L393="", "", VLOOKUP(L393, ThangLuongData, 2, FALSE))</f>
      </c>
      <c r="AD393" s="0">
        <f>IF(M393="", "", VLOOKUP(M393, NgachLuongData, 2, FALSE))</f>
      </c>
      <c r="AE393" s="0">
        <f>IF(N393="", "", VLOOKUP(N393, BacLuongData, 2, FALSE))</f>
      </c>
      <c r="AF393" s="0">
        <f>IF(P393="", "", VLOOKUP(P393, DanhSachCodeId, 3, FALSE))</f>
      </c>
    </row>
    <row r="394">
      <c r="A394" s="0">
        <f>IF(B394="", "", VLOOKUP(B394, DanhSachCodeId, 3, FALSE))</f>
      </c>
      <c r="C394" s="0">
        <f>IF(B394="", "", VLOOKUP(B394, DanhSachNhanVien, 2, FALSE))</f>
      </c>
      <c r="Q394" s="0">
        <f>IF(P394="", "", VLOOKUP(P394, DanhSachNhanVien, 2, FALSE))</f>
      </c>
      <c r="Z394" s="0">
        <f>IF(D394="", "", VLOOKUP(D394, DanhSachLoaiQuyetDinhRange, 2, FALSE))</f>
      </c>
      <c r="AA394" s="0">
        <f>IF(I394="", "", VLOOKUP(I394, DanhSachPhongBanRange, 2, FALSE))</f>
      </c>
      <c r="AB394" s="0">
        <f>IF(J394="", "", VLOOKUP(J394, DanhSachChucDanhRange, 2, FALSE))</f>
      </c>
      <c r="AC394" s="0">
        <f>IF(L394="", "", VLOOKUP(L394, ThangLuongData, 2, FALSE))</f>
      </c>
      <c r="AD394" s="0">
        <f>IF(M394="", "", VLOOKUP(M394, NgachLuongData, 2, FALSE))</f>
      </c>
      <c r="AE394" s="0">
        <f>IF(N394="", "", VLOOKUP(N394, BacLuongData, 2, FALSE))</f>
      </c>
      <c r="AF394" s="0">
        <f>IF(P394="", "", VLOOKUP(P394, DanhSachCodeId, 3, FALSE))</f>
      </c>
    </row>
    <row r="395">
      <c r="A395" s="0">
        <f>IF(B395="", "", VLOOKUP(B395, DanhSachCodeId, 3, FALSE))</f>
      </c>
      <c r="C395" s="0">
        <f>IF(B395="", "", VLOOKUP(B395, DanhSachNhanVien, 2, FALSE))</f>
      </c>
      <c r="Q395" s="0">
        <f>IF(P395="", "", VLOOKUP(P395, DanhSachNhanVien, 2, FALSE))</f>
      </c>
      <c r="Z395" s="0">
        <f>IF(D395="", "", VLOOKUP(D395, DanhSachLoaiQuyetDinhRange, 2, FALSE))</f>
      </c>
      <c r="AA395" s="0">
        <f>IF(I395="", "", VLOOKUP(I395, DanhSachPhongBanRange, 2, FALSE))</f>
      </c>
      <c r="AB395" s="0">
        <f>IF(J395="", "", VLOOKUP(J395, DanhSachChucDanhRange, 2, FALSE))</f>
      </c>
      <c r="AC395" s="0">
        <f>IF(L395="", "", VLOOKUP(L395, ThangLuongData, 2, FALSE))</f>
      </c>
      <c r="AD395" s="0">
        <f>IF(M395="", "", VLOOKUP(M395, NgachLuongData, 2, FALSE))</f>
      </c>
      <c r="AE395" s="0">
        <f>IF(N395="", "", VLOOKUP(N395, BacLuongData, 2, FALSE))</f>
      </c>
      <c r="AF395" s="0">
        <f>IF(P395="", "", VLOOKUP(P395, DanhSachCodeId, 3, FALSE))</f>
      </c>
    </row>
    <row r="396">
      <c r="A396" s="0">
        <f>IF(B396="", "", VLOOKUP(B396, DanhSachCodeId, 3, FALSE))</f>
      </c>
      <c r="C396" s="0">
        <f>IF(B396="", "", VLOOKUP(B396, DanhSachNhanVien, 2, FALSE))</f>
      </c>
      <c r="Q396" s="0">
        <f>IF(P396="", "", VLOOKUP(P396, DanhSachNhanVien, 2, FALSE))</f>
      </c>
      <c r="Z396" s="0">
        <f>IF(D396="", "", VLOOKUP(D396, DanhSachLoaiQuyetDinhRange, 2, FALSE))</f>
      </c>
      <c r="AA396" s="0">
        <f>IF(I396="", "", VLOOKUP(I396, DanhSachPhongBanRange, 2, FALSE))</f>
      </c>
      <c r="AB396" s="0">
        <f>IF(J396="", "", VLOOKUP(J396, DanhSachChucDanhRange, 2, FALSE))</f>
      </c>
      <c r="AC396" s="0">
        <f>IF(L396="", "", VLOOKUP(L396, ThangLuongData, 2, FALSE))</f>
      </c>
      <c r="AD396" s="0">
        <f>IF(M396="", "", VLOOKUP(M396, NgachLuongData, 2, FALSE))</f>
      </c>
      <c r="AE396" s="0">
        <f>IF(N396="", "", VLOOKUP(N396, BacLuongData, 2, FALSE))</f>
      </c>
      <c r="AF396" s="0">
        <f>IF(P396="", "", VLOOKUP(P396, DanhSachCodeId, 3, FALSE))</f>
      </c>
    </row>
    <row r="397">
      <c r="A397" s="0">
        <f>IF(B397="", "", VLOOKUP(B397, DanhSachCodeId, 3, FALSE))</f>
      </c>
      <c r="C397" s="0">
        <f>IF(B397="", "", VLOOKUP(B397, DanhSachNhanVien, 2, FALSE))</f>
      </c>
      <c r="Q397" s="0">
        <f>IF(P397="", "", VLOOKUP(P397, DanhSachNhanVien, 2, FALSE))</f>
      </c>
      <c r="Z397" s="0">
        <f>IF(D397="", "", VLOOKUP(D397, DanhSachLoaiQuyetDinhRange, 2, FALSE))</f>
      </c>
      <c r="AA397" s="0">
        <f>IF(I397="", "", VLOOKUP(I397, DanhSachPhongBanRange, 2, FALSE))</f>
      </c>
      <c r="AB397" s="0">
        <f>IF(J397="", "", VLOOKUP(J397, DanhSachChucDanhRange, 2, FALSE))</f>
      </c>
      <c r="AC397" s="0">
        <f>IF(L397="", "", VLOOKUP(L397, ThangLuongData, 2, FALSE))</f>
      </c>
      <c r="AD397" s="0">
        <f>IF(M397="", "", VLOOKUP(M397, NgachLuongData, 2, FALSE))</f>
      </c>
      <c r="AE397" s="0">
        <f>IF(N397="", "", VLOOKUP(N397, BacLuongData, 2, FALSE))</f>
      </c>
      <c r="AF397" s="0">
        <f>IF(P397="", "", VLOOKUP(P397, DanhSachCodeId, 3, FALSE))</f>
      </c>
    </row>
    <row r="398">
      <c r="A398" s="0">
        <f>IF(B398="", "", VLOOKUP(B398, DanhSachCodeId, 3, FALSE))</f>
      </c>
      <c r="C398" s="0">
        <f>IF(B398="", "", VLOOKUP(B398, DanhSachNhanVien, 2, FALSE))</f>
      </c>
      <c r="Q398" s="0">
        <f>IF(P398="", "", VLOOKUP(P398, DanhSachNhanVien, 2, FALSE))</f>
      </c>
      <c r="Z398" s="0">
        <f>IF(D398="", "", VLOOKUP(D398, DanhSachLoaiQuyetDinhRange, 2, FALSE))</f>
      </c>
      <c r="AA398" s="0">
        <f>IF(I398="", "", VLOOKUP(I398, DanhSachPhongBanRange, 2, FALSE))</f>
      </c>
      <c r="AB398" s="0">
        <f>IF(J398="", "", VLOOKUP(J398, DanhSachChucDanhRange, 2, FALSE))</f>
      </c>
      <c r="AC398" s="0">
        <f>IF(L398="", "", VLOOKUP(L398, ThangLuongData, 2, FALSE))</f>
      </c>
      <c r="AD398" s="0">
        <f>IF(M398="", "", VLOOKUP(M398, NgachLuongData, 2, FALSE))</f>
      </c>
      <c r="AE398" s="0">
        <f>IF(N398="", "", VLOOKUP(N398, BacLuongData, 2, FALSE))</f>
      </c>
      <c r="AF398" s="0">
        <f>IF(P398="", "", VLOOKUP(P398, DanhSachCodeId, 3, FALSE))</f>
      </c>
    </row>
    <row r="399">
      <c r="A399" s="0">
        <f>IF(B399="", "", VLOOKUP(B399, DanhSachCodeId, 3, FALSE))</f>
      </c>
      <c r="C399" s="0">
        <f>IF(B399="", "", VLOOKUP(B399, DanhSachNhanVien, 2, FALSE))</f>
      </c>
      <c r="Q399" s="0">
        <f>IF(P399="", "", VLOOKUP(P399, DanhSachNhanVien, 2, FALSE))</f>
      </c>
      <c r="Z399" s="0">
        <f>IF(D399="", "", VLOOKUP(D399, DanhSachLoaiQuyetDinhRange, 2, FALSE))</f>
      </c>
      <c r="AA399" s="0">
        <f>IF(I399="", "", VLOOKUP(I399, DanhSachPhongBanRange, 2, FALSE))</f>
      </c>
      <c r="AB399" s="0">
        <f>IF(J399="", "", VLOOKUP(J399, DanhSachChucDanhRange, 2, FALSE))</f>
      </c>
      <c r="AC399" s="0">
        <f>IF(L399="", "", VLOOKUP(L399, ThangLuongData, 2, FALSE))</f>
      </c>
      <c r="AD399" s="0">
        <f>IF(M399="", "", VLOOKUP(M399, NgachLuongData, 2, FALSE))</f>
      </c>
      <c r="AE399" s="0">
        <f>IF(N399="", "", VLOOKUP(N399, BacLuongData, 2, FALSE))</f>
      </c>
      <c r="AF399" s="0">
        <f>IF(P399="", "", VLOOKUP(P399, DanhSachCodeId, 3, FALSE))</f>
      </c>
    </row>
    <row r="400">
      <c r="A400" s="0">
        <f>IF(B400="", "", VLOOKUP(B400, DanhSachCodeId, 3, FALSE))</f>
      </c>
      <c r="C400" s="0">
        <f>IF(B400="", "", VLOOKUP(B400, DanhSachNhanVien, 2, FALSE))</f>
      </c>
      <c r="Q400" s="0">
        <f>IF(P400="", "", VLOOKUP(P400, DanhSachNhanVien, 2, FALSE))</f>
      </c>
      <c r="Z400" s="0">
        <f>IF(D400="", "", VLOOKUP(D400, DanhSachLoaiQuyetDinhRange, 2, FALSE))</f>
      </c>
      <c r="AA400" s="0">
        <f>IF(I400="", "", VLOOKUP(I400, DanhSachPhongBanRange, 2, FALSE))</f>
      </c>
      <c r="AB400" s="0">
        <f>IF(J400="", "", VLOOKUP(J400, DanhSachChucDanhRange, 2, FALSE))</f>
      </c>
      <c r="AC400" s="0">
        <f>IF(L400="", "", VLOOKUP(L400, ThangLuongData, 2, FALSE))</f>
      </c>
      <c r="AD400" s="0">
        <f>IF(M400="", "", VLOOKUP(M400, NgachLuongData, 2, FALSE))</f>
      </c>
      <c r="AE400" s="0">
        <f>IF(N400="", "", VLOOKUP(N400, BacLuongData, 2, FALSE))</f>
      </c>
      <c r="AF400" s="0">
        <f>IF(P400="", "", VLOOKUP(P400, DanhSachCodeId, 3, FALSE))</f>
      </c>
    </row>
    <row r="401">
      <c r="A401" s="0">
        <f>IF(B401="", "", VLOOKUP(B401, DanhSachCodeId, 3, FALSE))</f>
      </c>
      <c r="C401" s="0">
        <f>IF(B401="", "", VLOOKUP(B401, DanhSachNhanVien, 2, FALSE))</f>
      </c>
      <c r="Q401" s="0">
        <f>IF(P401="", "", VLOOKUP(P401, DanhSachNhanVien, 2, FALSE))</f>
      </c>
      <c r="Z401" s="0">
        <f>IF(D401="", "", VLOOKUP(D401, DanhSachLoaiQuyetDinhRange, 2, FALSE))</f>
      </c>
      <c r="AA401" s="0">
        <f>IF(I401="", "", VLOOKUP(I401, DanhSachPhongBanRange, 2, FALSE))</f>
      </c>
      <c r="AB401" s="0">
        <f>IF(J401="", "", VLOOKUP(J401, DanhSachChucDanhRange, 2, FALSE))</f>
      </c>
      <c r="AC401" s="0">
        <f>IF(L401="", "", VLOOKUP(L401, ThangLuongData, 2, FALSE))</f>
      </c>
      <c r="AD401" s="0">
        <f>IF(M401="", "", VLOOKUP(M401, NgachLuongData, 2, FALSE))</f>
      </c>
      <c r="AE401" s="0">
        <f>IF(N401="", "", VLOOKUP(N401, BacLuongData, 2, FALSE))</f>
      </c>
      <c r="AF401" s="0">
        <f>IF(P401="", "", VLOOKUP(P401, DanhSachCodeId, 3, FALSE))</f>
      </c>
    </row>
    <row r="402">
      <c r="A402" s="0">
        <f>IF(B402="", "", VLOOKUP(B402, DanhSachCodeId, 3, FALSE))</f>
      </c>
      <c r="C402" s="0">
        <f>IF(B402="", "", VLOOKUP(B402, DanhSachNhanVien, 2, FALSE))</f>
      </c>
      <c r="Q402" s="0">
        <f>IF(P402="", "", VLOOKUP(P402, DanhSachNhanVien, 2, FALSE))</f>
      </c>
      <c r="Z402" s="0">
        <f>IF(D402="", "", VLOOKUP(D402, DanhSachLoaiQuyetDinhRange, 2, FALSE))</f>
      </c>
      <c r="AA402" s="0">
        <f>IF(I402="", "", VLOOKUP(I402, DanhSachPhongBanRange, 2, FALSE))</f>
      </c>
      <c r="AB402" s="0">
        <f>IF(J402="", "", VLOOKUP(J402, DanhSachChucDanhRange, 2, FALSE))</f>
      </c>
      <c r="AC402" s="0">
        <f>IF(L402="", "", VLOOKUP(L402, ThangLuongData, 2, FALSE))</f>
      </c>
      <c r="AD402" s="0">
        <f>IF(M402="", "", VLOOKUP(M402, NgachLuongData, 2, FALSE))</f>
      </c>
      <c r="AE402" s="0">
        <f>IF(N402="", "", VLOOKUP(N402, BacLuongData, 2, FALSE))</f>
      </c>
      <c r="AF402" s="0">
        <f>IF(P402="", "", VLOOKUP(P402, DanhSachCodeId, 3, FALSE))</f>
      </c>
    </row>
    <row r="403">
      <c r="A403" s="0">
        <f>IF(B403="", "", VLOOKUP(B403, DanhSachCodeId, 3, FALSE))</f>
      </c>
      <c r="C403" s="0">
        <f>IF(B403="", "", VLOOKUP(B403, DanhSachNhanVien, 2, FALSE))</f>
      </c>
      <c r="Q403" s="0">
        <f>IF(P403="", "", VLOOKUP(P403, DanhSachNhanVien, 2, FALSE))</f>
      </c>
      <c r="Z403" s="0">
        <f>IF(D403="", "", VLOOKUP(D403, DanhSachLoaiQuyetDinhRange, 2, FALSE))</f>
      </c>
      <c r="AA403" s="0">
        <f>IF(I403="", "", VLOOKUP(I403, DanhSachPhongBanRange, 2, FALSE))</f>
      </c>
      <c r="AB403" s="0">
        <f>IF(J403="", "", VLOOKUP(J403, DanhSachChucDanhRange, 2, FALSE))</f>
      </c>
      <c r="AC403" s="0">
        <f>IF(L403="", "", VLOOKUP(L403, ThangLuongData, 2, FALSE))</f>
      </c>
      <c r="AD403" s="0">
        <f>IF(M403="", "", VLOOKUP(M403, NgachLuongData, 2, FALSE))</f>
      </c>
      <c r="AE403" s="0">
        <f>IF(N403="", "", VLOOKUP(N403, BacLuongData, 2, FALSE))</f>
      </c>
      <c r="AF403" s="0">
        <f>IF(P403="", "", VLOOKUP(P403, DanhSachCodeId, 3, FALSE))</f>
      </c>
    </row>
    <row r="404">
      <c r="A404" s="0">
        <f>IF(B404="", "", VLOOKUP(B404, DanhSachCodeId, 3, FALSE))</f>
      </c>
      <c r="C404" s="0">
        <f>IF(B404="", "", VLOOKUP(B404, DanhSachNhanVien, 2, FALSE))</f>
      </c>
      <c r="Q404" s="0">
        <f>IF(P404="", "", VLOOKUP(P404, DanhSachNhanVien, 2, FALSE))</f>
      </c>
      <c r="Z404" s="0">
        <f>IF(D404="", "", VLOOKUP(D404, DanhSachLoaiQuyetDinhRange, 2, FALSE))</f>
      </c>
      <c r="AA404" s="0">
        <f>IF(I404="", "", VLOOKUP(I404, DanhSachPhongBanRange, 2, FALSE))</f>
      </c>
      <c r="AB404" s="0">
        <f>IF(J404="", "", VLOOKUP(J404, DanhSachChucDanhRange, 2, FALSE))</f>
      </c>
      <c r="AC404" s="0">
        <f>IF(L404="", "", VLOOKUP(L404, ThangLuongData, 2, FALSE))</f>
      </c>
      <c r="AD404" s="0">
        <f>IF(M404="", "", VLOOKUP(M404, NgachLuongData, 2, FALSE))</f>
      </c>
      <c r="AE404" s="0">
        <f>IF(N404="", "", VLOOKUP(N404, BacLuongData, 2, FALSE))</f>
      </c>
      <c r="AF404" s="0">
        <f>IF(P404="", "", VLOOKUP(P404, DanhSachCodeId, 3, FALSE))</f>
      </c>
    </row>
    <row r="405">
      <c r="A405" s="0">
        <f>IF(B405="", "", VLOOKUP(B405, DanhSachCodeId, 3, FALSE))</f>
      </c>
      <c r="C405" s="0">
        <f>IF(B405="", "", VLOOKUP(B405, DanhSachNhanVien, 2, FALSE))</f>
      </c>
      <c r="Q405" s="0">
        <f>IF(P405="", "", VLOOKUP(P405, DanhSachNhanVien, 2, FALSE))</f>
      </c>
      <c r="Z405" s="0">
        <f>IF(D405="", "", VLOOKUP(D405, DanhSachLoaiQuyetDinhRange, 2, FALSE))</f>
      </c>
      <c r="AA405" s="0">
        <f>IF(I405="", "", VLOOKUP(I405, DanhSachPhongBanRange, 2, FALSE))</f>
      </c>
      <c r="AB405" s="0">
        <f>IF(J405="", "", VLOOKUP(J405, DanhSachChucDanhRange, 2, FALSE))</f>
      </c>
      <c r="AC405" s="0">
        <f>IF(L405="", "", VLOOKUP(L405, ThangLuongData, 2, FALSE))</f>
      </c>
      <c r="AD405" s="0">
        <f>IF(M405="", "", VLOOKUP(M405, NgachLuongData, 2, FALSE))</f>
      </c>
      <c r="AE405" s="0">
        <f>IF(N405="", "", VLOOKUP(N405, BacLuongData, 2, FALSE))</f>
      </c>
      <c r="AF405" s="0">
        <f>IF(P405="", "", VLOOKUP(P405, DanhSachCodeId, 3, FALSE))</f>
      </c>
    </row>
    <row r="406">
      <c r="A406" s="0">
        <f>IF(B406="", "", VLOOKUP(B406, DanhSachCodeId, 3, FALSE))</f>
      </c>
      <c r="C406" s="0">
        <f>IF(B406="", "", VLOOKUP(B406, DanhSachNhanVien, 2, FALSE))</f>
      </c>
      <c r="Q406" s="0">
        <f>IF(P406="", "", VLOOKUP(P406, DanhSachNhanVien, 2, FALSE))</f>
      </c>
      <c r="Z406" s="0">
        <f>IF(D406="", "", VLOOKUP(D406, DanhSachLoaiQuyetDinhRange, 2, FALSE))</f>
      </c>
      <c r="AA406" s="0">
        <f>IF(I406="", "", VLOOKUP(I406, DanhSachPhongBanRange, 2, FALSE))</f>
      </c>
      <c r="AB406" s="0">
        <f>IF(J406="", "", VLOOKUP(J406, DanhSachChucDanhRange, 2, FALSE))</f>
      </c>
      <c r="AC406" s="0">
        <f>IF(L406="", "", VLOOKUP(L406, ThangLuongData, 2, FALSE))</f>
      </c>
      <c r="AD406" s="0">
        <f>IF(M406="", "", VLOOKUP(M406, NgachLuongData, 2, FALSE))</f>
      </c>
      <c r="AE406" s="0">
        <f>IF(N406="", "", VLOOKUP(N406, BacLuongData, 2, FALSE))</f>
      </c>
      <c r="AF406" s="0">
        <f>IF(P406="", "", VLOOKUP(P406, DanhSachCodeId, 3, FALSE))</f>
      </c>
    </row>
    <row r="407">
      <c r="A407" s="0">
        <f>IF(B407="", "", VLOOKUP(B407, DanhSachCodeId, 3, FALSE))</f>
      </c>
      <c r="C407" s="0">
        <f>IF(B407="", "", VLOOKUP(B407, DanhSachNhanVien, 2, FALSE))</f>
      </c>
      <c r="Q407" s="0">
        <f>IF(P407="", "", VLOOKUP(P407, DanhSachNhanVien, 2, FALSE))</f>
      </c>
      <c r="Z407" s="0">
        <f>IF(D407="", "", VLOOKUP(D407, DanhSachLoaiQuyetDinhRange, 2, FALSE))</f>
      </c>
      <c r="AA407" s="0">
        <f>IF(I407="", "", VLOOKUP(I407, DanhSachPhongBanRange, 2, FALSE))</f>
      </c>
      <c r="AB407" s="0">
        <f>IF(J407="", "", VLOOKUP(J407, DanhSachChucDanhRange, 2, FALSE))</f>
      </c>
      <c r="AC407" s="0">
        <f>IF(L407="", "", VLOOKUP(L407, ThangLuongData, 2, FALSE))</f>
      </c>
      <c r="AD407" s="0">
        <f>IF(M407="", "", VLOOKUP(M407, NgachLuongData, 2, FALSE))</f>
      </c>
      <c r="AE407" s="0">
        <f>IF(N407="", "", VLOOKUP(N407, BacLuongData, 2, FALSE))</f>
      </c>
      <c r="AF407" s="0">
        <f>IF(P407="", "", VLOOKUP(P407, DanhSachCodeId, 3, FALSE))</f>
      </c>
    </row>
    <row r="408">
      <c r="A408" s="0">
        <f>IF(B408="", "", VLOOKUP(B408, DanhSachCodeId, 3, FALSE))</f>
      </c>
      <c r="C408" s="0">
        <f>IF(B408="", "", VLOOKUP(B408, DanhSachNhanVien, 2, FALSE))</f>
      </c>
      <c r="Q408" s="0">
        <f>IF(P408="", "", VLOOKUP(P408, DanhSachNhanVien, 2, FALSE))</f>
      </c>
      <c r="Z408" s="0">
        <f>IF(D408="", "", VLOOKUP(D408, DanhSachLoaiQuyetDinhRange, 2, FALSE))</f>
      </c>
      <c r="AA408" s="0">
        <f>IF(I408="", "", VLOOKUP(I408, DanhSachPhongBanRange, 2, FALSE))</f>
      </c>
      <c r="AB408" s="0">
        <f>IF(J408="", "", VLOOKUP(J408, DanhSachChucDanhRange, 2, FALSE))</f>
      </c>
      <c r="AC408" s="0">
        <f>IF(L408="", "", VLOOKUP(L408, ThangLuongData, 2, FALSE))</f>
      </c>
      <c r="AD408" s="0">
        <f>IF(M408="", "", VLOOKUP(M408, NgachLuongData, 2, FALSE))</f>
      </c>
      <c r="AE408" s="0">
        <f>IF(N408="", "", VLOOKUP(N408, BacLuongData, 2, FALSE))</f>
      </c>
      <c r="AF408" s="0">
        <f>IF(P408="", "", VLOOKUP(P408, DanhSachCodeId, 3, FALSE))</f>
      </c>
    </row>
    <row r="409">
      <c r="A409" s="0">
        <f>IF(B409="", "", VLOOKUP(B409, DanhSachCodeId, 3, FALSE))</f>
      </c>
      <c r="C409" s="0">
        <f>IF(B409="", "", VLOOKUP(B409, DanhSachNhanVien, 2, FALSE))</f>
      </c>
      <c r="Q409" s="0">
        <f>IF(P409="", "", VLOOKUP(P409, DanhSachNhanVien, 2, FALSE))</f>
      </c>
      <c r="Z409" s="0">
        <f>IF(D409="", "", VLOOKUP(D409, DanhSachLoaiQuyetDinhRange, 2, FALSE))</f>
      </c>
      <c r="AA409" s="0">
        <f>IF(I409="", "", VLOOKUP(I409, DanhSachPhongBanRange, 2, FALSE))</f>
      </c>
      <c r="AB409" s="0">
        <f>IF(J409="", "", VLOOKUP(J409, DanhSachChucDanhRange, 2, FALSE))</f>
      </c>
      <c r="AC409" s="0">
        <f>IF(L409="", "", VLOOKUP(L409, ThangLuongData, 2, FALSE))</f>
      </c>
      <c r="AD409" s="0">
        <f>IF(M409="", "", VLOOKUP(M409, NgachLuongData, 2, FALSE))</f>
      </c>
      <c r="AE409" s="0">
        <f>IF(N409="", "", VLOOKUP(N409, BacLuongData, 2, FALSE))</f>
      </c>
      <c r="AF409" s="0">
        <f>IF(P409="", "", VLOOKUP(P409, DanhSachCodeId, 3, FALSE))</f>
      </c>
    </row>
    <row r="410">
      <c r="A410" s="0">
        <f>IF(B410="", "", VLOOKUP(B410, DanhSachCodeId, 3, FALSE))</f>
      </c>
      <c r="C410" s="0">
        <f>IF(B410="", "", VLOOKUP(B410, DanhSachNhanVien, 2, FALSE))</f>
      </c>
      <c r="Q410" s="0">
        <f>IF(P410="", "", VLOOKUP(P410, DanhSachNhanVien, 2, FALSE))</f>
      </c>
      <c r="Z410" s="0">
        <f>IF(D410="", "", VLOOKUP(D410, DanhSachLoaiQuyetDinhRange, 2, FALSE))</f>
      </c>
      <c r="AA410" s="0">
        <f>IF(I410="", "", VLOOKUP(I410, DanhSachPhongBanRange, 2, FALSE))</f>
      </c>
      <c r="AB410" s="0">
        <f>IF(J410="", "", VLOOKUP(J410, DanhSachChucDanhRange, 2, FALSE))</f>
      </c>
      <c r="AC410" s="0">
        <f>IF(L410="", "", VLOOKUP(L410, ThangLuongData, 2, FALSE))</f>
      </c>
      <c r="AD410" s="0">
        <f>IF(M410="", "", VLOOKUP(M410, NgachLuongData, 2, FALSE))</f>
      </c>
      <c r="AE410" s="0">
        <f>IF(N410="", "", VLOOKUP(N410, BacLuongData, 2, FALSE))</f>
      </c>
      <c r="AF410" s="0">
        <f>IF(P410="", "", VLOOKUP(P410, DanhSachCodeId, 3, FALSE))</f>
      </c>
    </row>
    <row r="411">
      <c r="A411" s="0">
        <f>IF(B411="", "", VLOOKUP(B411, DanhSachCodeId, 3, FALSE))</f>
      </c>
      <c r="C411" s="0">
        <f>IF(B411="", "", VLOOKUP(B411, DanhSachNhanVien, 2, FALSE))</f>
      </c>
      <c r="Q411" s="0">
        <f>IF(P411="", "", VLOOKUP(P411, DanhSachNhanVien, 2, FALSE))</f>
      </c>
      <c r="Z411" s="0">
        <f>IF(D411="", "", VLOOKUP(D411, DanhSachLoaiQuyetDinhRange, 2, FALSE))</f>
      </c>
      <c r="AA411" s="0">
        <f>IF(I411="", "", VLOOKUP(I411, DanhSachPhongBanRange, 2, FALSE))</f>
      </c>
      <c r="AB411" s="0">
        <f>IF(J411="", "", VLOOKUP(J411, DanhSachChucDanhRange, 2, FALSE))</f>
      </c>
      <c r="AC411" s="0">
        <f>IF(L411="", "", VLOOKUP(L411, ThangLuongData, 2, FALSE))</f>
      </c>
      <c r="AD411" s="0">
        <f>IF(M411="", "", VLOOKUP(M411, NgachLuongData, 2, FALSE))</f>
      </c>
      <c r="AE411" s="0">
        <f>IF(N411="", "", VLOOKUP(N411, BacLuongData, 2, FALSE))</f>
      </c>
      <c r="AF411" s="0">
        <f>IF(P411="", "", VLOOKUP(P411, DanhSachCodeId, 3, FALSE))</f>
      </c>
    </row>
    <row r="412">
      <c r="A412" s="0">
        <f>IF(B412="", "", VLOOKUP(B412, DanhSachCodeId, 3, FALSE))</f>
      </c>
      <c r="C412" s="0">
        <f>IF(B412="", "", VLOOKUP(B412, DanhSachNhanVien, 2, FALSE))</f>
      </c>
      <c r="Q412" s="0">
        <f>IF(P412="", "", VLOOKUP(P412, DanhSachNhanVien, 2, FALSE))</f>
      </c>
      <c r="Z412" s="0">
        <f>IF(D412="", "", VLOOKUP(D412, DanhSachLoaiQuyetDinhRange, 2, FALSE))</f>
      </c>
      <c r="AA412" s="0">
        <f>IF(I412="", "", VLOOKUP(I412, DanhSachPhongBanRange, 2, FALSE))</f>
      </c>
      <c r="AB412" s="0">
        <f>IF(J412="", "", VLOOKUP(J412, DanhSachChucDanhRange, 2, FALSE))</f>
      </c>
      <c r="AC412" s="0">
        <f>IF(L412="", "", VLOOKUP(L412, ThangLuongData, 2, FALSE))</f>
      </c>
      <c r="AD412" s="0">
        <f>IF(M412="", "", VLOOKUP(M412, NgachLuongData, 2, FALSE))</f>
      </c>
      <c r="AE412" s="0">
        <f>IF(N412="", "", VLOOKUP(N412, BacLuongData, 2, FALSE))</f>
      </c>
      <c r="AF412" s="0">
        <f>IF(P412="", "", VLOOKUP(P412, DanhSachCodeId, 3, FALSE))</f>
      </c>
    </row>
    <row r="413">
      <c r="A413" s="0">
        <f>IF(B413="", "", VLOOKUP(B413, DanhSachCodeId, 3, FALSE))</f>
      </c>
      <c r="C413" s="0">
        <f>IF(B413="", "", VLOOKUP(B413, DanhSachNhanVien, 2, FALSE))</f>
      </c>
      <c r="Q413" s="0">
        <f>IF(P413="", "", VLOOKUP(P413, DanhSachNhanVien, 2, FALSE))</f>
      </c>
      <c r="Z413" s="0">
        <f>IF(D413="", "", VLOOKUP(D413, DanhSachLoaiQuyetDinhRange, 2, FALSE))</f>
      </c>
      <c r="AA413" s="0">
        <f>IF(I413="", "", VLOOKUP(I413, DanhSachPhongBanRange, 2, FALSE))</f>
      </c>
      <c r="AB413" s="0">
        <f>IF(J413="", "", VLOOKUP(J413, DanhSachChucDanhRange, 2, FALSE))</f>
      </c>
      <c r="AC413" s="0">
        <f>IF(L413="", "", VLOOKUP(L413, ThangLuongData, 2, FALSE))</f>
      </c>
      <c r="AD413" s="0">
        <f>IF(M413="", "", VLOOKUP(M413, NgachLuongData, 2, FALSE))</f>
      </c>
      <c r="AE413" s="0">
        <f>IF(N413="", "", VLOOKUP(N413, BacLuongData, 2, FALSE))</f>
      </c>
      <c r="AF413" s="0">
        <f>IF(P413="", "", VLOOKUP(P413, DanhSachCodeId, 3, FALSE))</f>
      </c>
    </row>
    <row r="414">
      <c r="A414" s="0">
        <f>IF(B414="", "", VLOOKUP(B414, DanhSachCodeId, 3, FALSE))</f>
      </c>
      <c r="C414" s="0">
        <f>IF(B414="", "", VLOOKUP(B414, DanhSachNhanVien, 2, FALSE))</f>
      </c>
      <c r="Q414" s="0">
        <f>IF(P414="", "", VLOOKUP(P414, DanhSachNhanVien, 2, FALSE))</f>
      </c>
      <c r="Z414" s="0">
        <f>IF(D414="", "", VLOOKUP(D414, DanhSachLoaiQuyetDinhRange, 2, FALSE))</f>
      </c>
      <c r="AA414" s="0">
        <f>IF(I414="", "", VLOOKUP(I414, DanhSachPhongBanRange, 2, FALSE))</f>
      </c>
      <c r="AB414" s="0">
        <f>IF(J414="", "", VLOOKUP(J414, DanhSachChucDanhRange, 2, FALSE))</f>
      </c>
      <c r="AC414" s="0">
        <f>IF(L414="", "", VLOOKUP(L414, ThangLuongData, 2, FALSE))</f>
      </c>
      <c r="AD414" s="0">
        <f>IF(M414="", "", VLOOKUP(M414, NgachLuongData, 2, FALSE))</f>
      </c>
      <c r="AE414" s="0">
        <f>IF(N414="", "", VLOOKUP(N414, BacLuongData, 2, FALSE))</f>
      </c>
      <c r="AF414" s="0">
        <f>IF(P414="", "", VLOOKUP(P414, DanhSachCodeId, 3, FALSE))</f>
      </c>
    </row>
    <row r="415">
      <c r="A415" s="0">
        <f>IF(B415="", "", VLOOKUP(B415, DanhSachCodeId, 3, FALSE))</f>
      </c>
      <c r="C415" s="0">
        <f>IF(B415="", "", VLOOKUP(B415, DanhSachNhanVien, 2, FALSE))</f>
      </c>
      <c r="Q415" s="0">
        <f>IF(P415="", "", VLOOKUP(P415, DanhSachNhanVien, 2, FALSE))</f>
      </c>
      <c r="Z415" s="0">
        <f>IF(D415="", "", VLOOKUP(D415, DanhSachLoaiQuyetDinhRange, 2, FALSE))</f>
      </c>
      <c r="AA415" s="0">
        <f>IF(I415="", "", VLOOKUP(I415, DanhSachPhongBanRange, 2, FALSE))</f>
      </c>
      <c r="AB415" s="0">
        <f>IF(J415="", "", VLOOKUP(J415, DanhSachChucDanhRange, 2, FALSE))</f>
      </c>
      <c r="AC415" s="0">
        <f>IF(L415="", "", VLOOKUP(L415, ThangLuongData, 2, FALSE))</f>
      </c>
      <c r="AD415" s="0">
        <f>IF(M415="", "", VLOOKUP(M415, NgachLuongData, 2, FALSE))</f>
      </c>
      <c r="AE415" s="0">
        <f>IF(N415="", "", VLOOKUP(N415, BacLuongData, 2, FALSE))</f>
      </c>
      <c r="AF415" s="0">
        <f>IF(P415="", "", VLOOKUP(P415, DanhSachCodeId, 3, FALSE))</f>
      </c>
    </row>
    <row r="416">
      <c r="A416" s="0">
        <f>IF(B416="", "", VLOOKUP(B416, DanhSachCodeId, 3, FALSE))</f>
      </c>
      <c r="C416" s="0">
        <f>IF(B416="", "", VLOOKUP(B416, DanhSachNhanVien, 2, FALSE))</f>
      </c>
      <c r="Q416" s="0">
        <f>IF(P416="", "", VLOOKUP(P416, DanhSachNhanVien, 2, FALSE))</f>
      </c>
      <c r="Z416" s="0">
        <f>IF(D416="", "", VLOOKUP(D416, DanhSachLoaiQuyetDinhRange, 2, FALSE))</f>
      </c>
      <c r="AA416" s="0">
        <f>IF(I416="", "", VLOOKUP(I416, DanhSachPhongBanRange, 2, FALSE))</f>
      </c>
      <c r="AB416" s="0">
        <f>IF(J416="", "", VLOOKUP(J416, DanhSachChucDanhRange, 2, FALSE))</f>
      </c>
      <c r="AC416" s="0">
        <f>IF(L416="", "", VLOOKUP(L416, ThangLuongData, 2, FALSE))</f>
      </c>
      <c r="AD416" s="0">
        <f>IF(M416="", "", VLOOKUP(M416, NgachLuongData, 2, FALSE))</f>
      </c>
      <c r="AE416" s="0">
        <f>IF(N416="", "", VLOOKUP(N416, BacLuongData, 2, FALSE))</f>
      </c>
      <c r="AF416" s="0">
        <f>IF(P416="", "", VLOOKUP(P416, DanhSachCodeId, 3, FALSE))</f>
      </c>
    </row>
    <row r="417">
      <c r="A417" s="0">
        <f>IF(B417="", "", VLOOKUP(B417, DanhSachCodeId, 3, FALSE))</f>
      </c>
      <c r="C417" s="0">
        <f>IF(B417="", "", VLOOKUP(B417, DanhSachNhanVien, 2, FALSE))</f>
      </c>
      <c r="Q417" s="0">
        <f>IF(P417="", "", VLOOKUP(P417, DanhSachNhanVien, 2, FALSE))</f>
      </c>
      <c r="Z417" s="0">
        <f>IF(D417="", "", VLOOKUP(D417, DanhSachLoaiQuyetDinhRange, 2, FALSE))</f>
      </c>
      <c r="AA417" s="0">
        <f>IF(I417="", "", VLOOKUP(I417, DanhSachPhongBanRange, 2, FALSE))</f>
      </c>
      <c r="AB417" s="0">
        <f>IF(J417="", "", VLOOKUP(J417, DanhSachChucDanhRange, 2, FALSE))</f>
      </c>
      <c r="AC417" s="0">
        <f>IF(L417="", "", VLOOKUP(L417, ThangLuongData, 2, FALSE))</f>
      </c>
      <c r="AD417" s="0">
        <f>IF(M417="", "", VLOOKUP(M417, NgachLuongData, 2, FALSE))</f>
      </c>
      <c r="AE417" s="0">
        <f>IF(N417="", "", VLOOKUP(N417, BacLuongData, 2, FALSE))</f>
      </c>
      <c r="AF417" s="0">
        <f>IF(P417="", "", VLOOKUP(P417, DanhSachCodeId, 3, FALSE))</f>
      </c>
    </row>
    <row r="418">
      <c r="A418" s="0">
        <f>IF(B418="", "", VLOOKUP(B418, DanhSachCodeId, 3, FALSE))</f>
      </c>
      <c r="C418" s="0">
        <f>IF(B418="", "", VLOOKUP(B418, DanhSachNhanVien, 2, FALSE))</f>
      </c>
      <c r="Q418" s="0">
        <f>IF(P418="", "", VLOOKUP(P418, DanhSachNhanVien, 2, FALSE))</f>
      </c>
      <c r="Z418" s="0">
        <f>IF(D418="", "", VLOOKUP(D418, DanhSachLoaiQuyetDinhRange, 2, FALSE))</f>
      </c>
      <c r="AA418" s="0">
        <f>IF(I418="", "", VLOOKUP(I418, DanhSachPhongBanRange, 2, FALSE))</f>
      </c>
      <c r="AB418" s="0">
        <f>IF(J418="", "", VLOOKUP(J418, DanhSachChucDanhRange, 2, FALSE))</f>
      </c>
      <c r="AC418" s="0">
        <f>IF(L418="", "", VLOOKUP(L418, ThangLuongData, 2, FALSE))</f>
      </c>
      <c r="AD418" s="0">
        <f>IF(M418="", "", VLOOKUP(M418, NgachLuongData, 2, FALSE))</f>
      </c>
      <c r="AE418" s="0">
        <f>IF(N418="", "", VLOOKUP(N418, BacLuongData, 2, FALSE))</f>
      </c>
      <c r="AF418" s="0">
        <f>IF(P418="", "", VLOOKUP(P418, DanhSachCodeId, 3, FALSE))</f>
      </c>
    </row>
    <row r="419">
      <c r="A419" s="0">
        <f>IF(B419="", "", VLOOKUP(B419, DanhSachCodeId, 3, FALSE))</f>
      </c>
      <c r="C419" s="0">
        <f>IF(B419="", "", VLOOKUP(B419, DanhSachNhanVien, 2, FALSE))</f>
      </c>
      <c r="Q419" s="0">
        <f>IF(P419="", "", VLOOKUP(P419, DanhSachNhanVien, 2, FALSE))</f>
      </c>
      <c r="Z419" s="0">
        <f>IF(D419="", "", VLOOKUP(D419, DanhSachLoaiQuyetDinhRange, 2, FALSE))</f>
      </c>
      <c r="AA419" s="0">
        <f>IF(I419="", "", VLOOKUP(I419, DanhSachPhongBanRange, 2, FALSE))</f>
      </c>
      <c r="AB419" s="0">
        <f>IF(J419="", "", VLOOKUP(J419, DanhSachChucDanhRange, 2, FALSE))</f>
      </c>
      <c r="AC419" s="0">
        <f>IF(L419="", "", VLOOKUP(L419, ThangLuongData, 2, FALSE))</f>
      </c>
      <c r="AD419" s="0">
        <f>IF(M419="", "", VLOOKUP(M419, NgachLuongData, 2, FALSE))</f>
      </c>
      <c r="AE419" s="0">
        <f>IF(N419="", "", VLOOKUP(N419, BacLuongData, 2, FALSE))</f>
      </c>
      <c r="AF419" s="0">
        <f>IF(P419="", "", VLOOKUP(P419, DanhSachCodeId, 3, FALSE))</f>
      </c>
    </row>
    <row r="420">
      <c r="A420" s="0">
        <f>IF(B420="", "", VLOOKUP(B420, DanhSachCodeId, 3, FALSE))</f>
      </c>
      <c r="C420" s="0">
        <f>IF(B420="", "", VLOOKUP(B420, DanhSachNhanVien, 2, FALSE))</f>
      </c>
      <c r="Q420" s="0">
        <f>IF(P420="", "", VLOOKUP(P420, DanhSachNhanVien, 2, FALSE))</f>
      </c>
      <c r="Z420" s="0">
        <f>IF(D420="", "", VLOOKUP(D420, DanhSachLoaiQuyetDinhRange, 2, FALSE))</f>
      </c>
      <c r="AA420" s="0">
        <f>IF(I420="", "", VLOOKUP(I420, DanhSachPhongBanRange, 2, FALSE))</f>
      </c>
      <c r="AB420" s="0">
        <f>IF(J420="", "", VLOOKUP(J420, DanhSachChucDanhRange, 2, FALSE))</f>
      </c>
      <c r="AC420" s="0">
        <f>IF(L420="", "", VLOOKUP(L420, ThangLuongData, 2, FALSE))</f>
      </c>
      <c r="AD420" s="0">
        <f>IF(M420="", "", VLOOKUP(M420, NgachLuongData, 2, FALSE))</f>
      </c>
      <c r="AE420" s="0">
        <f>IF(N420="", "", VLOOKUP(N420, BacLuongData, 2, FALSE))</f>
      </c>
      <c r="AF420" s="0">
        <f>IF(P420="", "", VLOOKUP(P420, DanhSachCodeId, 3, FALSE))</f>
      </c>
    </row>
    <row r="421">
      <c r="A421" s="0">
        <f>IF(B421="", "", VLOOKUP(B421, DanhSachCodeId, 3, FALSE))</f>
      </c>
      <c r="C421" s="0">
        <f>IF(B421="", "", VLOOKUP(B421, DanhSachNhanVien, 2, FALSE))</f>
      </c>
      <c r="Q421" s="0">
        <f>IF(P421="", "", VLOOKUP(P421, DanhSachNhanVien, 2, FALSE))</f>
      </c>
      <c r="Z421" s="0">
        <f>IF(D421="", "", VLOOKUP(D421, DanhSachLoaiQuyetDinhRange, 2, FALSE))</f>
      </c>
      <c r="AA421" s="0">
        <f>IF(I421="", "", VLOOKUP(I421, DanhSachPhongBanRange, 2, FALSE))</f>
      </c>
      <c r="AB421" s="0">
        <f>IF(J421="", "", VLOOKUP(J421, DanhSachChucDanhRange, 2, FALSE))</f>
      </c>
      <c r="AC421" s="0">
        <f>IF(L421="", "", VLOOKUP(L421, ThangLuongData, 2, FALSE))</f>
      </c>
      <c r="AD421" s="0">
        <f>IF(M421="", "", VLOOKUP(M421, NgachLuongData, 2, FALSE))</f>
      </c>
      <c r="AE421" s="0">
        <f>IF(N421="", "", VLOOKUP(N421, BacLuongData, 2, FALSE))</f>
      </c>
      <c r="AF421" s="0">
        <f>IF(P421="", "", VLOOKUP(P421, DanhSachCodeId, 3, FALSE))</f>
      </c>
    </row>
    <row r="422">
      <c r="A422" s="0">
        <f>IF(B422="", "", VLOOKUP(B422, DanhSachCodeId, 3, FALSE))</f>
      </c>
      <c r="C422" s="0">
        <f>IF(B422="", "", VLOOKUP(B422, DanhSachNhanVien, 2, FALSE))</f>
      </c>
      <c r="Q422" s="0">
        <f>IF(P422="", "", VLOOKUP(P422, DanhSachNhanVien, 2, FALSE))</f>
      </c>
      <c r="Z422" s="0">
        <f>IF(D422="", "", VLOOKUP(D422, DanhSachLoaiQuyetDinhRange, 2, FALSE))</f>
      </c>
      <c r="AA422" s="0">
        <f>IF(I422="", "", VLOOKUP(I422, DanhSachPhongBanRange, 2, FALSE))</f>
      </c>
      <c r="AB422" s="0">
        <f>IF(J422="", "", VLOOKUP(J422, DanhSachChucDanhRange, 2, FALSE))</f>
      </c>
      <c r="AC422" s="0">
        <f>IF(L422="", "", VLOOKUP(L422, ThangLuongData, 2, FALSE))</f>
      </c>
      <c r="AD422" s="0">
        <f>IF(M422="", "", VLOOKUP(M422, NgachLuongData, 2, FALSE))</f>
      </c>
      <c r="AE422" s="0">
        <f>IF(N422="", "", VLOOKUP(N422, BacLuongData, 2, FALSE))</f>
      </c>
      <c r="AF422" s="0">
        <f>IF(P422="", "", VLOOKUP(P422, DanhSachCodeId, 3, FALSE))</f>
      </c>
    </row>
    <row r="423">
      <c r="A423" s="0">
        <f>IF(B423="", "", VLOOKUP(B423, DanhSachCodeId, 3, FALSE))</f>
      </c>
      <c r="C423" s="0">
        <f>IF(B423="", "", VLOOKUP(B423, DanhSachNhanVien, 2, FALSE))</f>
      </c>
      <c r="Q423" s="0">
        <f>IF(P423="", "", VLOOKUP(P423, DanhSachNhanVien, 2, FALSE))</f>
      </c>
      <c r="Z423" s="0">
        <f>IF(D423="", "", VLOOKUP(D423, DanhSachLoaiQuyetDinhRange, 2, FALSE))</f>
      </c>
      <c r="AA423" s="0">
        <f>IF(I423="", "", VLOOKUP(I423, DanhSachPhongBanRange, 2, FALSE))</f>
      </c>
      <c r="AB423" s="0">
        <f>IF(J423="", "", VLOOKUP(J423, DanhSachChucDanhRange, 2, FALSE))</f>
      </c>
      <c r="AC423" s="0">
        <f>IF(L423="", "", VLOOKUP(L423, ThangLuongData, 2, FALSE))</f>
      </c>
      <c r="AD423" s="0">
        <f>IF(M423="", "", VLOOKUP(M423, NgachLuongData, 2, FALSE))</f>
      </c>
      <c r="AE423" s="0">
        <f>IF(N423="", "", VLOOKUP(N423, BacLuongData, 2, FALSE))</f>
      </c>
      <c r="AF423" s="0">
        <f>IF(P423="", "", VLOOKUP(P423, DanhSachCodeId, 3, FALSE))</f>
      </c>
    </row>
    <row r="424">
      <c r="A424" s="0">
        <f>IF(B424="", "", VLOOKUP(B424, DanhSachCodeId, 3, FALSE))</f>
      </c>
      <c r="C424" s="0">
        <f>IF(B424="", "", VLOOKUP(B424, DanhSachNhanVien, 2, FALSE))</f>
      </c>
      <c r="Q424" s="0">
        <f>IF(P424="", "", VLOOKUP(P424, DanhSachNhanVien, 2, FALSE))</f>
      </c>
      <c r="Z424" s="0">
        <f>IF(D424="", "", VLOOKUP(D424, DanhSachLoaiQuyetDinhRange, 2, FALSE))</f>
      </c>
      <c r="AA424" s="0">
        <f>IF(I424="", "", VLOOKUP(I424, DanhSachPhongBanRange, 2, FALSE))</f>
      </c>
      <c r="AB424" s="0">
        <f>IF(J424="", "", VLOOKUP(J424, DanhSachChucDanhRange, 2, FALSE))</f>
      </c>
      <c r="AC424" s="0">
        <f>IF(L424="", "", VLOOKUP(L424, ThangLuongData, 2, FALSE))</f>
      </c>
      <c r="AD424" s="0">
        <f>IF(M424="", "", VLOOKUP(M424, NgachLuongData, 2, FALSE))</f>
      </c>
      <c r="AE424" s="0">
        <f>IF(N424="", "", VLOOKUP(N424, BacLuongData, 2, FALSE))</f>
      </c>
      <c r="AF424" s="0">
        <f>IF(P424="", "", VLOOKUP(P424, DanhSachCodeId, 3, FALSE))</f>
      </c>
    </row>
    <row r="425">
      <c r="A425" s="0">
        <f>IF(B425="", "", VLOOKUP(B425, DanhSachCodeId, 3, FALSE))</f>
      </c>
      <c r="C425" s="0">
        <f>IF(B425="", "", VLOOKUP(B425, DanhSachNhanVien, 2, FALSE))</f>
      </c>
      <c r="Q425" s="0">
        <f>IF(P425="", "", VLOOKUP(P425, DanhSachNhanVien, 2, FALSE))</f>
      </c>
      <c r="Z425" s="0">
        <f>IF(D425="", "", VLOOKUP(D425, DanhSachLoaiQuyetDinhRange, 2, FALSE))</f>
      </c>
      <c r="AA425" s="0">
        <f>IF(I425="", "", VLOOKUP(I425, DanhSachPhongBanRange, 2, FALSE))</f>
      </c>
      <c r="AB425" s="0">
        <f>IF(J425="", "", VLOOKUP(J425, DanhSachChucDanhRange, 2, FALSE))</f>
      </c>
      <c r="AC425" s="0">
        <f>IF(L425="", "", VLOOKUP(L425, ThangLuongData, 2, FALSE))</f>
      </c>
      <c r="AD425" s="0">
        <f>IF(M425="", "", VLOOKUP(M425, NgachLuongData, 2, FALSE))</f>
      </c>
      <c r="AE425" s="0">
        <f>IF(N425="", "", VLOOKUP(N425, BacLuongData, 2, FALSE))</f>
      </c>
      <c r="AF425" s="0">
        <f>IF(P425="", "", VLOOKUP(P425, DanhSachCodeId, 3, FALSE))</f>
      </c>
    </row>
    <row r="426">
      <c r="A426" s="0">
        <f>IF(B426="", "", VLOOKUP(B426, DanhSachCodeId, 3, FALSE))</f>
      </c>
      <c r="C426" s="0">
        <f>IF(B426="", "", VLOOKUP(B426, DanhSachNhanVien, 2, FALSE))</f>
      </c>
      <c r="Q426" s="0">
        <f>IF(P426="", "", VLOOKUP(P426, DanhSachNhanVien, 2, FALSE))</f>
      </c>
      <c r="Z426" s="0">
        <f>IF(D426="", "", VLOOKUP(D426, DanhSachLoaiQuyetDinhRange, 2, FALSE))</f>
      </c>
      <c r="AA426" s="0">
        <f>IF(I426="", "", VLOOKUP(I426, DanhSachPhongBanRange, 2, FALSE))</f>
      </c>
      <c r="AB426" s="0">
        <f>IF(J426="", "", VLOOKUP(J426, DanhSachChucDanhRange, 2, FALSE))</f>
      </c>
      <c r="AC426" s="0">
        <f>IF(L426="", "", VLOOKUP(L426, ThangLuongData, 2, FALSE))</f>
      </c>
      <c r="AD426" s="0">
        <f>IF(M426="", "", VLOOKUP(M426, NgachLuongData, 2, FALSE))</f>
      </c>
      <c r="AE426" s="0">
        <f>IF(N426="", "", VLOOKUP(N426, BacLuongData, 2, FALSE))</f>
      </c>
      <c r="AF426" s="0">
        <f>IF(P426="", "", VLOOKUP(P426, DanhSachCodeId, 3, FALSE))</f>
      </c>
    </row>
    <row r="427">
      <c r="A427" s="0">
        <f>IF(B427="", "", VLOOKUP(B427, DanhSachCodeId, 3, FALSE))</f>
      </c>
      <c r="C427" s="0">
        <f>IF(B427="", "", VLOOKUP(B427, DanhSachNhanVien, 2, FALSE))</f>
      </c>
      <c r="Q427" s="0">
        <f>IF(P427="", "", VLOOKUP(P427, DanhSachNhanVien, 2, FALSE))</f>
      </c>
      <c r="Z427" s="0">
        <f>IF(D427="", "", VLOOKUP(D427, DanhSachLoaiQuyetDinhRange, 2, FALSE))</f>
      </c>
      <c r="AA427" s="0">
        <f>IF(I427="", "", VLOOKUP(I427, DanhSachPhongBanRange, 2, FALSE))</f>
      </c>
      <c r="AB427" s="0">
        <f>IF(J427="", "", VLOOKUP(J427, DanhSachChucDanhRange, 2, FALSE))</f>
      </c>
      <c r="AC427" s="0">
        <f>IF(L427="", "", VLOOKUP(L427, ThangLuongData, 2, FALSE))</f>
      </c>
      <c r="AD427" s="0">
        <f>IF(M427="", "", VLOOKUP(M427, NgachLuongData, 2, FALSE))</f>
      </c>
      <c r="AE427" s="0">
        <f>IF(N427="", "", VLOOKUP(N427, BacLuongData, 2, FALSE))</f>
      </c>
      <c r="AF427" s="0">
        <f>IF(P427="", "", VLOOKUP(P427, DanhSachCodeId, 3, FALSE))</f>
      </c>
    </row>
    <row r="428">
      <c r="A428" s="0">
        <f>IF(B428="", "", VLOOKUP(B428, DanhSachCodeId, 3, FALSE))</f>
      </c>
      <c r="C428" s="0">
        <f>IF(B428="", "", VLOOKUP(B428, DanhSachNhanVien, 2, FALSE))</f>
      </c>
      <c r="Q428" s="0">
        <f>IF(P428="", "", VLOOKUP(P428, DanhSachNhanVien, 2, FALSE))</f>
      </c>
      <c r="Z428" s="0">
        <f>IF(D428="", "", VLOOKUP(D428, DanhSachLoaiQuyetDinhRange, 2, FALSE))</f>
      </c>
      <c r="AA428" s="0">
        <f>IF(I428="", "", VLOOKUP(I428, DanhSachPhongBanRange, 2, FALSE))</f>
      </c>
      <c r="AB428" s="0">
        <f>IF(J428="", "", VLOOKUP(J428, DanhSachChucDanhRange, 2, FALSE))</f>
      </c>
      <c r="AC428" s="0">
        <f>IF(L428="", "", VLOOKUP(L428, ThangLuongData, 2, FALSE))</f>
      </c>
      <c r="AD428" s="0">
        <f>IF(M428="", "", VLOOKUP(M428, NgachLuongData, 2, FALSE))</f>
      </c>
      <c r="AE428" s="0">
        <f>IF(N428="", "", VLOOKUP(N428, BacLuongData, 2, FALSE))</f>
      </c>
      <c r="AF428" s="0">
        <f>IF(P428="", "", VLOOKUP(P428, DanhSachCodeId, 3, FALSE))</f>
      </c>
    </row>
    <row r="429">
      <c r="A429" s="0">
        <f>IF(B429="", "", VLOOKUP(B429, DanhSachCodeId, 3, FALSE))</f>
      </c>
      <c r="C429" s="0">
        <f>IF(B429="", "", VLOOKUP(B429, DanhSachNhanVien, 2, FALSE))</f>
      </c>
      <c r="Q429" s="0">
        <f>IF(P429="", "", VLOOKUP(P429, DanhSachNhanVien, 2, FALSE))</f>
      </c>
      <c r="Z429" s="0">
        <f>IF(D429="", "", VLOOKUP(D429, DanhSachLoaiQuyetDinhRange, 2, FALSE))</f>
      </c>
      <c r="AA429" s="0">
        <f>IF(I429="", "", VLOOKUP(I429, DanhSachPhongBanRange, 2, FALSE))</f>
      </c>
      <c r="AB429" s="0">
        <f>IF(J429="", "", VLOOKUP(J429, DanhSachChucDanhRange, 2, FALSE))</f>
      </c>
      <c r="AC429" s="0">
        <f>IF(L429="", "", VLOOKUP(L429, ThangLuongData, 2, FALSE))</f>
      </c>
      <c r="AD429" s="0">
        <f>IF(M429="", "", VLOOKUP(M429, NgachLuongData, 2, FALSE))</f>
      </c>
      <c r="AE429" s="0">
        <f>IF(N429="", "", VLOOKUP(N429, BacLuongData, 2, FALSE))</f>
      </c>
      <c r="AF429" s="0">
        <f>IF(P429="", "", VLOOKUP(P429, DanhSachCodeId, 3, FALSE))</f>
      </c>
    </row>
    <row r="430">
      <c r="A430" s="0">
        <f>IF(B430="", "", VLOOKUP(B430, DanhSachCodeId, 3, FALSE))</f>
      </c>
      <c r="C430" s="0">
        <f>IF(B430="", "", VLOOKUP(B430, DanhSachNhanVien, 2, FALSE))</f>
      </c>
      <c r="Q430" s="0">
        <f>IF(P430="", "", VLOOKUP(P430, DanhSachNhanVien, 2, FALSE))</f>
      </c>
      <c r="Z430" s="0">
        <f>IF(D430="", "", VLOOKUP(D430, DanhSachLoaiQuyetDinhRange, 2, FALSE))</f>
      </c>
      <c r="AA430" s="0">
        <f>IF(I430="", "", VLOOKUP(I430, DanhSachPhongBanRange, 2, FALSE))</f>
      </c>
      <c r="AB430" s="0">
        <f>IF(J430="", "", VLOOKUP(J430, DanhSachChucDanhRange, 2, FALSE))</f>
      </c>
      <c r="AC430" s="0">
        <f>IF(L430="", "", VLOOKUP(L430, ThangLuongData, 2, FALSE))</f>
      </c>
      <c r="AD430" s="0">
        <f>IF(M430="", "", VLOOKUP(M430, NgachLuongData, 2, FALSE))</f>
      </c>
      <c r="AE430" s="0">
        <f>IF(N430="", "", VLOOKUP(N430, BacLuongData, 2, FALSE))</f>
      </c>
      <c r="AF430" s="0">
        <f>IF(P430="", "", VLOOKUP(P430, DanhSachCodeId, 3, FALSE))</f>
      </c>
    </row>
    <row r="431">
      <c r="A431" s="0">
        <f>IF(B431="", "", VLOOKUP(B431, DanhSachCodeId, 3, FALSE))</f>
      </c>
      <c r="C431" s="0">
        <f>IF(B431="", "", VLOOKUP(B431, DanhSachNhanVien, 2, FALSE))</f>
      </c>
      <c r="Q431" s="0">
        <f>IF(P431="", "", VLOOKUP(P431, DanhSachNhanVien, 2, FALSE))</f>
      </c>
      <c r="Z431" s="0">
        <f>IF(D431="", "", VLOOKUP(D431, DanhSachLoaiQuyetDinhRange, 2, FALSE))</f>
      </c>
      <c r="AA431" s="0">
        <f>IF(I431="", "", VLOOKUP(I431, DanhSachPhongBanRange, 2, FALSE))</f>
      </c>
      <c r="AB431" s="0">
        <f>IF(J431="", "", VLOOKUP(J431, DanhSachChucDanhRange, 2, FALSE))</f>
      </c>
      <c r="AC431" s="0">
        <f>IF(L431="", "", VLOOKUP(L431, ThangLuongData, 2, FALSE))</f>
      </c>
      <c r="AD431" s="0">
        <f>IF(M431="", "", VLOOKUP(M431, NgachLuongData, 2, FALSE))</f>
      </c>
      <c r="AE431" s="0">
        <f>IF(N431="", "", VLOOKUP(N431, BacLuongData, 2, FALSE))</f>
      </c>
      <c r="AF431" s="0">
        <f>IF(P431="", "", VLOOKUP(P431, DanhSachCodeId, 3, FALSE))</f>
      </c>
    </row>
    <row r="432">
      <c r="A432" s="0">
        <f>IF(B432="", "", VLOOKUP(B432, DanhSachCodeId, 3, FALSE))</f>
      </c>
      <c r="C432" s="0">
        <f>IF(B432="", "", VLOOKUP(B432, DanhSachNhanVien, 2, FALSE))</f>
      </c>
      <c r="Q432" s="0">
        <f>IF(P432="", "", VLOOKUP(P432, DanhSachNhanVien, 2, FALSE))</f>
      </c>
      <c r="Z432" s="0">
        <f>IF(D432="", "", VLOOKUP(D432, DanhSachLoaiQuyetDinhRange, 2, FALSE))</f>
      </c>
      <c r="AA432" s="0">
        <f>IF(I432="", "", VLOOKUP(I432, DanhSachPhongBanRange, 2, FALSE))</f>
      </c>
      <c r="AB432" s="0">
        <f>IF(J432="", "", VLOOKUP(J432, DanhSachChucDanhRange, 2, FALSE))</f>
      </c>
      <c r="AC432" s="0">
        <f>IF(L432="", "", VLOOKUP(L432, ThangLuongData, 2, FALSE))</f>
      </c>
      <c r="AD432" s="0">
        <f>IF(M432="", "", VLOOKUP(M432, NgachLuongData, 2, FALSE))</f>
      </c>
      <c r="AE432" s="0">
        <f>IF(N432="", "", VLOOKUP(N432, BacLuongData, 2, FALSE))</f>
      </c>
      <c r="AF432" s="0">
        <f>IF(P432="", "", VLOOKUP(P432, DanhSachCodeId, 3, FALSE))</f>
      </c>
    </row>
    <row r="433">
      <c r="A433" s="0">
        <f>IF(B433="", "", VLOOKUP(B433, DanhSachCodeId, 3, FALSE))</f>
      </c>
      <c r="C433" s="0">
        <f>IF(B433="", "", VLOOKUP(B433, DanhSachNhanVien, 2, FALSE))</f>
      </c>
      <c r="Q433" s="0">
        <f>IF(P433="", "", VLOOKUP(P433, DanhSachNhanVien, 2, FALSE))</f>
      </c>
      <c r="Z433" s="0">
        <f>IF(D433="", "", VLOOKUP(D433, DanhSachLoaiQuyetDinhRange, 2, FALSE))</f>
      </c>
      <c r="AA433" s="0">
        <f>IF(I433="", "", VLOOKUP(I433, DanhSachPhongBanRange, 2, FALSE))</f>
      </c>
      <c r="AB433" s="0">
        <f>IF(J433="", "", VLOOKUP(J433, DanhSachChucDanhRange, 2, FALSE))</f>
      </c>
      <c r="AC433" s="0">
        <f>IF(L433="", "", VLOOKUP(L433, ThangLuongData, 2, FALSE))</f>
      </c>
      <c r="AD433" s="0">
        <f>IF(M433="", "", VLOOKUP(M433, NgachLuongData, 2, FALSE))</f>
      </c>
      <c r="AE433" s="0">
        <f>IF(N433="", "", VLOOKUP(N433, BacLuongData, 2, FALSE))</f>
      </c>
      <c r="AF433" s="0">
        <f>IF(P433="", "", VLOOKUP(P433, DanhSachCodeId, 3, FALSE))</f>
      </c>
    </row>
    <row r="434">
      <c r="A434" s="0">
        <f>IF(B434="", "", VLOOKUP(B434, DanhSachCodeId, 3, FALSE))</f>
      </c>
      <c r="C434" s="0">
        <f>IF(B434="", "", VLOOKUP(B434, DanhSachNhanVien, 2, FALSE))</f>
      </c>
      <c r="Q434" s="0">
        <f>IF(P434="", "", VLOOKUP(P434, DanhSachNhanVien, 2, FALSE))</f>
      </c>
      <c r="Z434" s="0">
        <f>IF(D434="", "", VLOOKUP(D434, DanhSachLoaiQuyetDinhRange, 2, FALSE))</f>
      </c>
      <c r="AA434" s="0">
        <f>IF(I434="", "", VLOOKUP(I434, DanhSachPhongBanRange, 2, FALSE))</f>
      </c>
      <c r="AB434" s="0">
        <f>IF(J434="", "", VLOOKUP(J434, DanhSachChucDanhRange, 2, FALSE))</f>
      </c>
      <c r="AC434" s="0">
        <f>IF(L434="", "", VLOOKUP(L434, ThangLuongData, 2, FALSE))</f>
      </c>
      <c r="AD434" s="0">
        <f>IF(M434="", "", VLOOKUP(M434, NgachLuongData, 2, FALSE))</f>
      </c>
      <c r="AE434" s="0">
        <f>IF(N434="", "", VLOOKUP(N434, BacLuongData, 2, FALSE))</f>
      </c>
      <c r="AF434" s="0">
        <f>IF(P434="", "", VLOOKUP(P434, DanhSachCodeId, 3, FALSE))</f>
      </c>
    </row>
    <row r="435">
      <c r="A435" s="0">
        <f>IF(B435="", "", VLOOKUP(B435, DanhSachCodeId, 3, FALSE))</f>
      </c>
      <c r="C435" s="0">
        <f>IF(B435="", "", VLOOKUP(B435, DanhSachNhanVien, 2, FALSE))</f>
      </c>
      <c r="Q435" s="0">
        <f>IF(P435="", "", VLOOKUP(P435, DanhSachNhanVien, 2, FALSE))</f>
      </c>
      <c r="Z435" s="0">
        <f>IF(D435="", "", VLOOKUP(D435, DanhSachLoaiQuyetDinhRange, 2, FALSE))</f>
      </c>
      <c r="AA435" s="0">
        <f>IF(I435="", "", VLOOKUP(I435, DanhSachPhongBanRange, 2, FALSE))</f>
      </c>
      <c r="AB435" s="0">
        <f>IF(J435="", "", VLOOKUP(J435, DanhSachChucDanhRange, 2, FALSE))</f>
      </c>
      <c r="AC435" s="0">
        <f>IF(L435="", "", VLOOKUP(L435, ThangLuongData, 2, FALSE))</f>
      </c>
      <c r="AD435" s="0">
        <f>IF(M435="", "", VLOOKUP(M435, NgachLuongData, 2, FALSE))</f>
      </c>
      <c r="AE435" s="0">
        <f>IF(N435="", "", VLOOKUP(N435, BacLuongData, 2, FALSE))</f>
      </c>
      <c r="AF435" s="0">
        <f>IF(P435="", "", VLOOKUP(P435, DanhSachCodeId, 3, FALSE))</f>
      </c>
    </row>
    <row r="436">
      <c r="A436" s="0">
        <f>IF(B436="", "", VLOOKUP(B436, DanhSachCodeId, 3, FALSE))</f>
      </c>
      <c r="C436" s="0">
        <f>IF(B436="", "", VLOOKUP(B436, DanhSachNhanVien, 2, FALSE))</f>
      </c>
      <c r="Q436" s="0">
        <f>IF(P436="", "", VLOOKUP(P436, DanhSachNhanVien, 2, FALSE))</f>
      </c>
      <c r="Z436" s="0">
        <f>IF(D436="", "", VLOOKUP(D436, DanhSachLoaiQuyetDinhRange, 2, FALSE))</f>
      </c>
      <c r="AA436" s="0">
        <f>IF(I436="", "", VLOOKUP(I436, DanhSachPhongBanRange, 2, FALSE))</f>
      </c>
      <c r="AB436" s="0">
        <f>IF(J436="", "", VLOOKUP(J436, DanhSachChucDanhRange, 2, FALSE))</f>
      </c>
      <c r="AC436" s="0">
        <f>IF(L436="", "", VLOOKUP(L436, ThangLuongData, 2, FALSE))</f>
      </c>
      <c r="AD436" s="0">
        <f>IF(M436="", "", VLOOKUP(M436, NgachLuongData, 2, FALSE))</f>
      </c>
      <c r="AE436" s="0">
        <f>IF(N436="", "", VLOOKUP(N436, BacLuongData, 2, FALSE))</f>
      </c>
      <c r="AF436" s="0">
        <f>IF(P436="", "", VLOOKUP(P436, DanhSachCodeId, 3, FALSE))</f>
      </c>
    </row>
    <row r="437">
      <c r="A437" s="0">
        <f>IF(B437="", "", VLOOKUP(B437, DanhSachCodeId, 3, FALSE))</f>
      </c>
      <c r="C437" s="0">
        <f>IF(B437="", "", VLOOKUP(B437, DanhSachNhanVien, 2, FALSE))</f>
      </c>
      <c r="Q437" s="0">
        <f>IF(P437="", "", VLOOKUP(P437, DanhSachNhanVien, 2, FALSE))</f>
      </c>
      <c r="Z437" s="0">
        <f>IF(D437="", "", VLOOKUP(D437, DanhSachLoaiQuyetDinhRange, 2, FALSE))</f>
      </c>
      <c r="AA437" s="0">
        <f>IF(I437="", "", VLOOKUP(I437, DanhSachPhongBanRange, 2, FALSE))</f>
      </c>
      <c r="AB437" s="0">
        <f>IF(J437="", "", VLOOKUP(J437, DanhSachChucDanhRange, 2, FALSE))</f>
      </c>
      <c r="AC437" s="0">
        <f>IF(L437="", "", VLOOKUP(L437, ThangLuongData, 2, FALSE))</f>
      </c>
      <c r="AD437" s="0">
        <f>IF(M437="", "", VLOOKUP(M437, NgachLuongData, 2, FALSE))</f>
      </c>
      <c r="AE437" s="0">
        <f>IF(N437="", "", VLOOKUP(N437, BacLuongData, 2, FALSE))</f>
      </c>
      <c r="AF437" s="0">
        <f>IF(P437="", "", VLOOKUP(P437, DanhSachCodeId, 3, FALSE))</f>
      </c>
    </row>
    <row r="438">
      <c r="A438" s="0">
        <f>IF(B438="", "", VLOOKUP(B438, DanhSachCodeId, 3, FALSE))</f>
      </c>
      <c r="C438" s="0">
        <f>IF(B438="", "", VLOOKUP(B438, DanhSachNhanVien, 2, FALSE))</f>
      </c>
      <c r="Q438" s="0">
        <f>IF(P438="", "", VLOOKUP(P438, DanhSachNhanVien, 2, FALSE))</f>
      </c>
      <c r="Z438" s="0">
        <f>IF(D438="", "", VLOOKUP(D438, DanhSachLoaiQuyetDinhRange, 2, FALSE))</f>
      </c>
      <c r="AA438" s="0">
        <f>IF(I438="", "", VLOOKUP(I438, DanhSachPhongBanRange, 2, FALSE))</f>
      </c>
      <c r="AB438" s="0">
        <f>IF(J438="", "", VLOOKUP(J438, DanhSachChucDanhRange, 2, FALSE))</f>
      </c>
      <c r="AC438" s="0">
        <f>IF(L438="", "", VLOOKUP(L438, ThangLuongData, 2, FALSE))</f>
      </c>
      <c r="AD438" s="0">
        <f>IF(M438="", "", VLOOKUP(M438, NgachLuongData, 2, FALSE))</f>
      </c>
      <c r="AE438" s="0">
        <f>IF(N438="", "", VLOOKUP(N438, BacLuongData, 2, FALSE))</f>
      </c>
      <c r="AF438" s="0">
        <f>IF(P438="", "", VLOOKUP(P438, DanhSachCodeId, 3, FALSE))</f>
      </c>
    </row>
    <row r="439">
      <c r="A439" s="0">
        <f>IF(B439="", "", VLOOKUP(B439, DanhSachCodeId, 3, FALSE))</f>
      </c>
      <c r="C439" s="0">
        <f>IF(B439="", "", VLOOKUP(B439, DanhSachNhanVien, 2, FALSE))</f>
      </c>
      <c r="Q439" s="0">
        <f>IF(P439="", "", VLOOKUP(P439, DanhSachNhanVien, 2, FALSE))</f>
      </c>
      <c r="Z439" s="0">
        <f>IF(D439="", "", VLOOKUP(D439, DanhSachLoaiQuyetDinhRange, 2, FALSE))</f>
      </c>
      <c r="AA439" s="0">
        <f>IF(I439="", "", VLOOKUP(I439, DanhSachPhongBanRange, 2, FALSE))</f>
      </c>
      <c r="AB439" s="0">
        <f>IF(J439="", "", VLOOKUP(J439, DanhSachChucDanhRange, 2, FALSE))</f>
      </c>
      <c r="AC439" s="0">
        <f>IF(L439="", "", VLOOKUP(L439, ThangLuongData, 2, FALSE))</f>
      </c>
      <c r="AD439" s="0">
        <f>IF(M439="", "", VLOOKUP(M439, NgachLuongData, 2, FALSE))</f>
      </c>
      <c r="AE439" s="0">
        <f>IF(N439="", "", VLOOKUP(N439, BacLuongData, 2, FALSE))</f>
      </c>
      <c r="AF439" s="0">
        <f>IF(P439="", "", VLOOKUP(P439, DanhSachCodeId, 3, FALSE))</f>
      </c>
    </row>
    <row r="440">
      <c r="A440" s="0">
        <f>IF(B440="", "", VLOOKUP(B440, DanhSachCodeId, 3, FALSE))</f>
      </c>
      <c r="C440" s="0">
        <f>IF(B440="", "", VLOOKUP(B440, DanhSachNhanVien, 2, FALSE))</f>
      </c>
      <c r="Q440" s="0">
        <f>IF(P440="", "", VLOOKUP(P440, DanhSachNhanVien, 2, FALSE))</f>
      </c>
      <c r="Z440" s="0">
        <f>IF(D440="", "", VLOOKUP(D440, DanhSachLoaiQuyetDinhRange, 2, FALSE))</f>
      </c>
      <c r="AA440" s="0">
        <f>IF(I440="", "", VLOOKUP(I440, DanhSachPhongBanRange, 2, FALSE))</f>
      </c>
      <c r="AB440" s="0">
        <f>IF(J440="", "", VLOOKUP(J440, DanhSachChucDanhRange, 2, FALSE))</f>
      </c>
      <c r="AC440" s="0">
        <f>IF(L440="", "", VLOOKUP(L440, ThangLuongData, 2, FALSE))</f>
      </c>
      <c r="AD440" s="0">
        <f>IF(M440="", "", VLOOKUP(M440, NgachLuongData, 2, FALSE))</f>
      </c>
      <c r="AE440" s="0">
        <f>IF(N440="", "", VLOOKUP(N440, BacLuongData, 2, FALSE))</f>
      </c>
      <c r="AF440" s="0">
        <f>IF(P440="", "", VLOOKUP(P440, DanhSachCodeId, 3, FALSE))</f>
      </c>
    </row>
    <row r="441">
      <c r="A441" s="0">
        <f>IF(B441="", "", VLOOKUP(B441, DanhSachCodeId, 3, FALSE))</f>
      </c>
      <c r="C441" s="0">
        <f>IF(B441="", "", VLOOKUP(B441, DanhSachNhanVien, 2, FALSE))</f>
      </c>
      <c r="Q441" s="0">
        <f>IF(P441="", "", VLOOKUP(P441, DanhSachNhanVien, 2, FALSE))</f>
      </c>
      <c r="Z441" s="0">
        <f>IF(D441="", "", VLOOKUP(D441, DanhSachLoaiQuyetDinhRange, 2, FALSE))</f>
      </c>
      <c r="AA441" s="0">
        <f>IF(I441="", "", VLOOKUP(I441, DanhSachPhongBanRange, 2, FALSE))</f>
      </c>
      <c r="AB441" s="0">
        <f>IF(J441="", "", VLOOKUP(J441, DanhSachChucDanhRange, 2, FALSE))</f>
      </c>
      <c r="AC441" s="0">
        <f>IF(L441="", "", VLOOKUP(L441, ThangLuongData, 2, FALSE))</f>
      </c>
      <c r="AD441" s="0">
        <f>IF(M441="", "", VLOOKUP(M441, NgachLuongData, 2, FALSE))</f>
      </c>
      <c r="AE441" s="0">
        <f>IF(N441="", "", VLOOKUP(N441, BacLuongData, 2, FALSE))</f>
      </c>
      <c r="AF441" s="0">
        <f>IF(P441="", "", VLOOKUP(P441, DanhSachCodeId, 3, FALSE))</f>
      </c>
    </row>
    <row r="442">
      <c r="A442" s="0">
        <f>IF(B442="", "", VLOOKUP(B442, DanhSachCodeId, 3, FALSE))</f>
      </c>
      <c r="C442" s="0">
        <f>IF(B442="", "", VLOOKUP(B442, DanhSachNhanVien, 2, FALSE))</f>
      </c>
      <c r="Q442" s="0">
        <f>IF(P442="", "", VLOOKUP(P442, DanhSachNhanVien, 2, FALSE))</f>
      </c>
      <c r="Z442" s="0">
        <f>IF(D442="", "", VLOOKUP(D442, DanhSachLoaiQuyetDinhRange, 2, FALSE))</f>
      </c>
      <c r="AA442" s="0">
        <f>IF(I442="", "", VLOOKUP(I442, DanhSachPhongBanRange, 2, FALSE))</f>
      </c>
      <c r="AB442" s="0">
        <f>IF(J442="", "", VLOOKUP(J442, DanhSachChucDanhRange, 2, FALSE))</f>
      </c>
      <c r="AC442" s="0">
        <f>IF(L442="", "", VLOOKUP(L442, ThangLuongData, 2, FALSE))</f>
      </c>
      <c r="AD442" s="0">
        <f>IF(M442="", "", VLOOKUP(M442, NgachLuongData, 2, FALSE))</f>
      </c>
      <c r="AE442" s="0">
        <f>IF(N442="", "", VLOOKUP(N442, BacLuongData, 2, FALSE))</f>
      </c>
      <c r="AF442" s="0">
        <f>IF(P442="", "", VLOOKUP(P442, DanhSachCodeId, 3, FALSE))</f>
      </c>
    </row>
    <row r="443">
      <c r="A443" s="0">
        <f>IF(B443="", "", VLOOKUP(B443, DanhSachCodeId, 3, FALSE))</f>
      </c>
      <c r="C443" s="0">
        <f>IF(B443="", "", VLOOKUP(B443, DanhSachNhanVien, 2, FALSE))</f>
      </c>
      <c r="Q443" s="0">
        <f>IF(P443="", "", VLOOKUP(P443, DanhSachNhanVien, 2, FALSE))</f>
      </c>
      <c r="Z443" s="0">
        <f>IF(D443="", "", VLOOKUP(D443, DanhSachLoaiQuyetDinhRange, 2, FALSE))</f>
      </c>
      <c r="AA443" s="0">
        <f>IF(I443="", "", VLOOKUP(I443, DanhSachPhongBanRange, 2, FALSE))</f>
      </c>
      <c r="AB443" s="0">
        <f>IF(J443="", "", VLOOKUP(J443, DanhSachChucDanhRange, 2, FALSE))</f>
      </c>
      <c r="AC443" s="0">
        <f>IF(L443="", "", VLOOKUP(L443, ThangLuongData, 2, FALSE))</f>
      </c>
      <c r="AD443" s="0">
        <f>IF(M443="", "", VLOOKUP(M443, NgachLuongData, 2, FALSE))</f>
      </c>
      <c r="AE443" s="0">
        <f>IF(N443="", "", VLOOKUP(N443, BacLuongData, 2, FALSE))</f>
      </c>
      <c r="AF443" s="0">
        <f>IF(P443="", "", VLOOKUP(P443, DanhSachCodeId, 3, FALSE))</f>
      </c>
    </row>
    <row r="444">
      <c r="A444" s="0">
        <f>IF(B444="", "", VLOOKUP(B444, DanhSachCodeId, 3, FALSE))</f>
      </c>
      <c r="C444" s="0">
        <f>IF(B444="", "", VLOOKUP(B444, DanhSachNhanVien, 2, FALSE))</f>
      </c>
      <c r="Q444" s="0">
        <f>IF(P444="", "", VLOOKUP(P444, DanhSachNhanVien, 2, FALSE))</f>
      </c>
      <c r="Z444" s="0">
        <f>IF(D444="", "", VLOOKUP(D444, DanhSachLoaiQuyetDinhRange, 2, FALSE))</f>
      </c>
      <c r="AA444" s="0">
        <f>IF(I444="", "", VLOOKUP(I444, DanhSachPhongBanRange, 2, FALSE))</f>
      </c>
      <c r="AB444" s="0">
        <f>IF(J444="", "", VLOOKUP(J444, DanhSachChucDanhRange, 2, FALSE))</f>
      </c>
      <c r="AC444" s="0">
        <f>IF(L444="", "", VLOOKUP(L444, ThangLuongData, 2, FALSE))</f>
      </c>
      <c r="AD444" s="0">
        <f>IF(M444="", "", VLOOKUP(M444, NgachLuongData, 2, FALSE))</f>
      </c>
      <c r="AE444" s="0">
        <f>IF(N444="", "", VLOOKUP(N444, BacLuongData, 2, FALSE))</f>
      </c>
      <c r="AF444" s="0">
        <f>IF(P444="", "", VLOOKUP(P444, DanhSachCodeId, 3, FALSE))</f>
      </c>
    </row>
    <row r="445">
      <c r="A445" s="0">
        <f>IF(B445="", "", VLOOKUP(B445, DanhSachCodeId, 3, FALSE))</f>
      </c>
      <c r="C445" s="0">
        <f>IF(B445="", "", VLOOKUP(B445, DanhSachNhanVien, 2, FALSE))</f>
      </c>
      <c r="Q445" s="0">
        <f>IF(P445="", "", VLOOKUP(P445, DanhSachNhanVien, 2, FALSE))</f>
      </c>
      <c r="Z445" s="0">
        <f>IF(D445="", "", VLOOKUP(D445, DanhSachLoaiQuyetDinhRange, 2, FALSE))</f>
      </c>
      <c r="AA445" s="0">
        <f>IF(I445="", "", VLOOKUP(I445, DanhSachPhongBanRange, 2, FALSE))</f>
      </c>
      <c r="AB445" s="0">
        <f>IF(J445="", "", VLOOKUP(J445, DanhSachChucDanhRange, 2, FALSE))</f>
      </c>
      <c r="AC445" s="0">
        <f>IF(L445="", "", VLOOKUP(L445, ThangLuongData, 2, FALSE))</f>
      </c>
      <c r="AD445" s="0">
        <f>IF(M445="", "", VLOOKUP(M445, NgachLuongData, 2, FALSE))</f>
      </c>
      <c r="AE445" s="0">
        <f>IF(N445="", "", VLOOKUP(N445, BacLuongData, 2, FALSE))</f>
      </c>
      <c r="AF445" s="0">
        <f>IF(P445="", "", VLOOKUP(P445, DanhSachCodeId, 3, FALSE))</f>
      </c>
    </row>
    <row r="446">
      <c r="A446" s="0">
        <f>IF(B446="", "", VLOOKUP(B446, DanhSachCodeId, 3, FALSE))</f>
      </c>
      <c r="C446" s="0">
        <f>IF(B446="", "", VLOOKUP(B446, DanhSachNhanVien, 2, FALSE))</f>
      </c>
      <c r="Q446" s="0">
        <f>IF(P446="", "", VLOOKUP(P446, DanhSachNhanVien, 2, FALSE))</f>
      </c>
      <c r="Z446" s="0">
        <f>IF(D446="", "", VLOOKUP(D446, DanhSachLoaiQuyetDinhRange, 2, FALSE))</f>
      </c>
      <c r="AA446" s="0">
        <f>IF(I446="", "", VLOOKUP(I446, DanhSachPhongBanRange, 2, FALSE))</f>
      </c>
      <c r="AB446" s="0">
        <f>IF(J446="", "", VLOOKUP(J446, DanhSachChucDanhRange, 2, FALSE))</f>
      </c>
      <c r="AC446" s="0">
        <f>IF(L446="", "", VLOOKUP(L446, ThangLuongData, 2, FALSE))</f>
      </c>
      <c r="AD446" s="0">
        <f>IF(M446="", "", VLOOKUP(M446, NgachLuongData, 2, FALSE))</f>
      </c>
      <c r="AE446" s="0">
        <f>IF(N446="", "", VLOOKUP(N446, BacLuongData, 2, FALSE))</f>
      </c>
      <c r="AF446" s="0">
        <f>IF(P446="", "", VLOOKUP(P446, DanhSachCodeId, 3, FALSE))</f>
      </c>
    </row>
    <row r="447">
      <c r="A447" s="0">
        <f>IF(B447="", "", VLOOKUP(B447, DanhSachCodeId, 3, FALSE))</f>
      </c>
      <c r="C447" s="0">
        <f>IF(B447="", "", VLOOKUP(B447, DanhSachNhanVien, 2, FALSE))</f>
      </c>
      <c r="Q447" s="0">
        <f>IF(P447="", "", VLOOKUP(P447, DanhSachNhanVien, 2, FALSE))</f>
      </c>
      <c r="Z447" s="0">
        <f>IF(D447="", "", VLOOKUP(D447, DanhSachLoaiQuyetDinhRange, 2, FALSE))</f>
      </c>
      <c r="AA447" s="0">
        <f>IF(I447="", "", VLOOKUP(I447, DanhSachPhongBanRange, 2, FALSE))</f>
      </c>
      <c r="AB447" s="0">
        <f>IF(J447="", "", VLOOKUP(J447, DanhSachChucDanhRange, 2, FALSE))</f>
      </c>
      <c r="AC447" s="0">
        <f>IF(L447="", "", VLOOKUP(L447, ThangLuongData, 2, FALSE))</f>
      </c>
      <c r="AD447" s="0">
        <f>IF(M447="", "", VLOOKUP(M447, NgachLuongData, 2, FALSE))</f>
      </c>
      <c r="AE447" s="0">
        <f>IF(N447="", "", VLOOKUP(N447, BacLuongData, 2, FALSE))</f>
      </c>
      <c r="AF447" s="0">
        <f>IF(P447="", "", VLOOKUP(P447, DanhSachCodeId, 3, FALSE))</f>
      </c>
    </row>
    <row r="448">
      <c r="A448" s="0">
        <f>IF(B448="", "", VLOOKUP(B448, DanhSachCodeId, 3, FALSE))</f>
      </c>
      <c r="C448" s="0">
        <f>IF(B448="", "", VLOOKUP(B448, DanhSachNhanVien, 2, FALSE))</f>
      </c>
      <c r="Q448" s="0">
        <f>IF(P448="", "", VLOOKUP(P448, DanhSachNhanVien, 2, FALSE))</f>
      </c>
      <c r="Z448" s="0">
        <f>IF(D448="", "", VLOOKUP(D448, DanhSachLoaiQuyetDinhRange, 2, FALSE))</f>
      </c>
      <c r="AA448" s="0">
        <f>IF(I448="", "", VLOOKUP(I448, DanhSachPhongBanRange, 2, FALSE))</f>
      </c>
      <c r="AB448" s="0">
        <f>IF(J448="", "", VLOOKUP(J448, DanhSachChucDanhRange, 2, FALSE))</f>
      </c>
      <c r="AC448" s="0">
        <f>IF(L448="", "", VLOOKUP(L448, ThangLuongData, 2, FALSE))</f>
      </c>
      <c r="AD448" s="0">
        <f>IF(M448="", "", VLOOKUP(M448, NgachLuongData, 2, FALSE))</f>
      </c>
      <c r="AE448" s="0">
        <f>IF(N448="", "", VLOOKUP(N448, BacLuongData, 2, FALSE))</f>
      </c>
      <c r="AF448" s="0">
        <f>IF(P448="", "", VLOOKUP(P448, DanhSachCodeId, 3, FALSE))</f>
      </c>
    </row>
    <row r="449">
      <c r="A449" s="0">
        <f>IF(B449="", "", VLOOKUP(B449, DanhSachCodeId, 3, FALSE))</f>
      </c>
      <c r="C449" s="0">
        <f>IF(B449="", "", VLOOKUP(B449, DanhSachNhanVien, 2, FALSE))</f>
      </c>
      <c r="Q449" s="0">
        <f>IF(P449="", "", VLOOKUP(P449, DanhSachNhanVien, 2, FALSE))</f>
      </c>
      <c r="Z449" s="0">
        <f>IF(D449="", "", VLOOKUP(D449, DanhSachLoaiQuyetDinhRange, 2, FALSE))</f>
      </c>
      <c r="AA449" s="0">
        <f>IF(I449="", "", VLOOKUP(I449, DanhSachPhongBanRange, 2, FALSE))</f>
      </c>
      <c r="AB449" s="0">
        <f>IF(J449="", "", VLOOKUP(J449, DanhSachChucDanhRange, 2, FALSE))</f>
      </c>
      <c r="AC449" s="0">
        <f>IF(L449="", "", VLOOKUP(L449, ThangLuongData, 2, FALSE))</f>
      </c>
      <c r="AD449" s="0">
        <f>IF(M449="", "", VLOOKUP(M449, NgachLuongData, 2, FALSE))</f>
      </c>
      <c r="AE449" s="0">
        <f>IF(N449="", "", VLOOKUP(N449, BacLuongData, 2, FALSE))</f>
      </c>
      <c r="AF449" s="0">
        <f>IF(P449="", "", VLOOKUP(P449, DanhSachCodeId, 3, FALSE))</f>
      </c>
    </row>
    <row r="450">
      <c r="A450" s="0">
        <f>IF(B450="", "", VLOOKUP(B450, DanhSachCodeId, 3, FALSE))</f>
      </c>
      <c r="C450" s="0">
        <f>IF(B450="", "", VLOOKUP(B450, DanhSachNhanVien, 2, FALSE))</f>
      </c>
      <c r="Q450" s="0">
        <f>IF(P450="", "", VLOOKUP(P450, DanhSachNhanVien, 2, FALSE))</f>
      </c>
      <c r="Z450" s="0">
        <f>IF(D450="", "", VLOOKUP(D450, DanhSachLoaiQuyetDinhRange, 2, FALSE))</f>
      </c>
      <c r="AA450" s="0">
        <f>IF(I450="", "", VLOOKUP(I450, DanhSachPhongBanRange, 2, FALSE))</f>
      </c>
      <c r="AB450" s="0">
        <f>IF(J450="", "", VLOOKUP(J450, DanhSachChucDanhRange, 2, FALSE))</f>
      </c>
      <c r="AC450" s="0">
        <f>IF(L450="", "", VLOOKUP(L450, ThangLuongData, 2, FALSE))</f>
      </c>
      <c r="AD450" s="0">
        <f>IF(M450="", "", VLOOKUP(M450, NgachLuongData, 2, FALSE))</f>
      </c>
      <c r="AE450" s="0">
        <f>IF(N450="", "", VLOOKUP(N450, BacLuongData, 2, FALSE))</f>
      </c>
      <c r="AF450" s="0">
        <f>IF(P450="", "", VLOOKUP(P450, DanhSachCodeId, 3, FALSE))</f>
      </c>
    </row>
    <row r="451">
      <c r="A451" s="0">
        <f>IF(B451="", "", VLOOKUP(B451, DanhSachCodeId, 3, FALSE))</f>
      </c>
      <c r="C451" s="0">
        <f>IF(B451="", "", VLOOKUP(B451, DanhSachNhanVien, 2, FALSE))</f>
      </c>
      <c r="Q451" s="0">
        <f>IF(P451="", "", VLOOKUP(P451, DanhSachNhanVien, 2, FALSE))</f>
      </c>
      <c r="Z451" s="0">
        <f>IF(D451="", "", VLOOKUP(D451, DanhSachLoaiQuyetDinhRange, 2, FALSE))</f>
      </c>
      <c r="AA451" s="0">
        <f>IF(I451="", "", VLOOKUP(I451, DanhSachPhongBanRange, 2, FALSE))</f>
      </c>
      <c r="AB451" s="0">
        <f>IF(J451="", "", VLOOKUP(J451, DanhSachChucDanhRange, 2, FALSE))</f>
      </c>
      <c r="AC451" s="0">
        <f>IF(L451="", "", VLOOKUP(L451, ThangLuongData, 2, FALSE))</f>
      </c>
      <c r="AD451" s="0">
        <f>IF(M451="", "", VLOOKUP(M451, NgachLuongData, 2, FALSE))</f>
      </c>
      <c r="AE451" s="0">
        <f>IF(N451="", "", VLOOKUP(N451, BacLuongData, 2, FALSE))</f>
      </c>
      <c r="AF451" s="0">
        <f>IF(P451="", "", VLOOKUP(P451, DanhSachCodeId, 3, FALSE))</f>
      </c>
    </row>
    <row r="452">
      <c r="A452" s="0">
        <f>IF(B452="", "", VLOOKUP(B452, DanhSachCodeId, 3, FALSE))</f>
      </c>
      <c r="C452" s="0">
        <f>IF(B452="", "", VLOOKUP(B452, DanhSachNhanVien, 2, FALSE))</f>
      </c>
      <c r="Q452" s="0">
        <f>IF(P452="", "", VLOOKUP(P452, DanhSachNhanVien, 2, FALSE))</f>
      </c>
      <c r="Z452" s="0">
        <f>IF(D452="", "", VLOOKUP(D452, DanhSachLoaiQuyetDinhRange, 2, FALSE))</f>
      </c>
      <c r="AA452" s="0">
        <f>IF(I452="", "", VLOOKUP(I452, DanhSachPhongBanRange, 2, FALSE))</f>
      </c>
      <c r="AB452" s="0">
        <f>IF(J452="", "", VLOOKUP(J452, DanhSachChucDanhRange, 2, FALSE))</f>
      </c>
      <c r="AC452" s="0">
        <f>IF(L452="", "", VLOOKUP(L452, ThangLuongData, 2, FALSE))</f>
      </c>
      <c r="AD452" s="0">
        <f>IF(M452="", "", VLOOKUP(M452, NgachLuongData, 2, FALSE))</f>
      </c>
      <c r="AE452" s="0">
        <f>IF(N452="", "", VLOOKUP(N452, BacLuongData, 2, FALSE))</f>
      </c>
      <c r="AF452" s="0">
        <f>IF(P452="", "", VLOOKUP(P452, DanhSachCodeId, 3, FALSE))</f>
      </c>
    </row>
    <row r="453">
      <c r="A453" s="0">
        <f>IF(B453="", "", VLOOKUP(B453, DanhSachCodeId, 3, FALSE))</f>
      </c>
      <c r="C453" s="0">
        <f>IF(B453="", "", VLOOKUP(B453, DanhSachNhanVien, 2, FALSE))</f>
      </c>
      <c r="Q453" s="0">
        <f>IF(P453="", "", VLOOKUP(P453, DanhSachNhanVien, 2, FALSE))</f>
      </c>
      <c r="Z453" s="0">
        <f>IF(D453="", "", VLOOKUP(D453, DanhSachLoaiQuyetDinhRange, 2, FALSE))</f>
      </c>
      <c r="AA453" s="0">
        <f>IF(I453="", "", VLOOKUP(I453, DanhSachPhongBanRange, 2, FALSE))</f>
      </c>
      <c r="AB453" s="0">
        <f>IF(J453="", "", VLOOKUP(J453, DanhSachChucDanhRange, 2, FALSE))</f>
      </c>
      <c r="AC453" s="0">
        <f>IF(L453="", "", VLOOKUP(L453, ThangLuongData, 2, FALSE))</f>
      </c>
      <c r="AD453" s="0">
        <f>IF(M453="", "", VLOOKUP(M453, NgachLuongData, 2, FALSE))</f>
      </c>
      <c r="AE453" s="0">
        <f>IF(N453="", "", VLOOKUP(N453, BacLuongData, 2, FALSE))</f>
      </c>
      <c r="AF453" s="0">
        <f>IF(P453="", "", VLOOKUP(P453, DanhSachCodeId, 3, FALSE))</f>
      </c>
    </row>
    <row r="454">
      <c r="A454" s="0">
        <f>IF(B454="", "", VLOOKUP(B454, DanhSachCodeId, 3, FALSE))</f>
      </c>
      <c r="C454" s="0">
        <f>IF(B454="", "", VLOOKUP(B454, DanhSachNhanVien, 2, FALSE))</f>
      </c>
      <c r="Q454" s="0">
        <f>IF(P454="", "", VLOOKUP(P454, DanhSachNhanVien, 2, FALSE))</f>
      </c>
      <c r="Z454" s="0">
        <f>IF(D454="", "", VLOOKUP(D454, DanhSachLoaiQuyetDinhRange, 2, FALSE))</f>
      </c>
      <c r="AA454" s="0">
        <f>IF(I454="", "", VLOOKUP(I454, DanhSachPhongBanRange, 2, FALSE))</f>
      </c>
      <c r="AB454" s="0">
        <f>IF(J454="", "", VLOOKUP(J454, DanhSachChucDanhRange, 2, FALSE))</f>
      </c>
      <c r="AC454" s="0">
        <f>IF(L454="", "", VLOOKUP(L454, ThangLuongData, 2, FALSE))</f>
      </c>
      <c r="AD454" s="0">
        <f>IF(M454="", "", VLOOKUP(M454, NgachLuongData, 2, FALSE))</f>
      </c>
      <c r="AE454" s="0">
        <f>IF(N454="", "", VLOOKUP(N454, BacLuongData, 2, FALSE))</f>
      </c>
      <c r="AF454" s="0">
        <f>IF(P454="", "", VLOOKUP(P454, DanhSachCodeId, 3, FALSE))</f>
      </c>
    </row>
    <row r="455">
      <c r="A455" s="0">
        <f>IF(B455="", "", VLOOKUP(B455, DanhSachCodeId, 3, FALSE))</f>
      </c>
      <c r="C455" s="0">
        <f>IF(B455="", "", VLOOKUP(B455, DanhSachNhanVien, 2, FALSE))</f>
      </c>
      <c r="Q455" s="0">
        <f>IF(P455="", "", VLOOKUP(P455, DanhSachNhanVien, 2, FALSE))</f>
      </c>
      <c r="Z455" s="0">
        <f>IF(D455="", "", VLOOKUP(D455, DanhSachLoaiQuyetDinhRange, 2, FALSE))</f>
      </c>
      <c r="AA455" s="0">
        <f>IF(I455="", "", VLOOKUP(I455, DanhSachPhongBanRange, 2, FALSE))</f>
      </c>
      <c r="AB455" s="0">
        <f>IF(J455="", "", VLOOKUP(J455, DanhSachChucDanhRange, 2, FALSE))</f>
      </c>
      <c r="AC455" s="0">
        <f>IF(L455="", "", VLOOKUP(L455, ThangLuongData, 2, FALSE))</f>
      </c>
      <c r="AD455" s="0">
        <f>IF(M455="", "", VLOOKUP(M455, NgachLuongData, 2, FALSE))</f>
      </c>
      <c r="AE455" s="0">
        <f>IF(N455="", "", VLOOKUP(N455, BacLuongData, 2, FALSE))</f>
      </c>
      <c r="AF455" s="0">
        <f>IF(P455="", "", VLOOKUP(P455, DanhSachCodeId, 3, FALSE))</f>
      </c>
    </row>
    <row r="456">
      <c r="A456" s="0">
        <f>IF(B456="", "", VLOOKUP(B456, DanhSachCodeId, 3, FALSE))</f>
      </c>
      <c r="C456" s="0">
        <f>IF(B456="", "", VLOOKUP(B456, DanhSachNhanVien, 2, FALSE))</f>
      </c>
      <c r="Q456" s="0">
        <f>IF(P456="", "", VLOOKUP(P456, DanhSachNhanVien, 2, FALSE))</f>
      </c>
      <c r="Z456" s="0">
        <f>IF(D456="", "", VLOOKUP(D456, DanhSachLoaiQuyetDinhRange, 2, FALSE))</f>
      </c>
      <c r="AA456" s="0">
        <f>IF(I456="", "", VLOOKUP(I456, DanhSachPhongBanRange, 2, FALSE))</f>
      </c>
      <c r="AB456" s="0">
        <f>IF(J456="", "", VLOOKUP(J456, DanhSachChucDanhRange, 2, FALSE))</f>
      </c>
      <c r="AC456" s="0">
        <f>IF(L456="", "", VLOOKUP(L456, ThangLuongData, 2, FALSE))</f>
      </c>
      <c r="AD456" s="0">
        <f>IF(M456="", "", VLOOKUP(M456, NgachLuongData, 2, FALSE))</f>
      </c>
      <c r="AE456" s="0">
        <f>IF(N456="", "", VLOOKUP(N456, BacLuongData, 2, FALSE))</f>
      </c>
      <c r="AF456" s="0">
        <f>IF(P456="", "", VLOOKUP(P456, DanhSachCodeId, 3, FALSE))</f>
      </c>
    </row>
    <row r="457">
      <c r="A457" s="0">
        <f>IF(B457="", "", VLOOKUP(B457, DanhSachCodeId, 3, FALSE))</f>
      </c>
      <c r="C457" s="0">
        <f>IF(B457="", "", VLOOKUP(B457, DanhSachNhanVien, 2, FALSE))</f>
      </c>
      <c r="Q457" s="0">
        <f>IF(P457="", "", VLOOKUP(P457, DanhSachNhanVien, 2, FALSE))</f>
      </c>
      <c r="Z457" s="0">
        <f>IF(D457="", "", VLOOKUP(D457, DanhSachLoaiQuyetDinhRange, 2, FALSE))</f>
      </c>
      <c r="AA457" s="0">
        <f>IF(I457="", "", VLOOKUP(I457, DanhSachPhongBanRange, 2, FALSE))</f>
      </c>
      <c r="AB457" s="0">
        <f>IF(J457="", "", VLOOKUP(J457, DanhSachChucDanhRange, 2, FALSE))</f>
      </c>
      <c r="AC457" s="0">
        <f>IF(L457="", "", VLOOKUP(L457, ThangLuongData, 2, FALSE))</f>
      </c>
      <c r="AD457" s="0">
        <f>IF(M457="", "", VLOOKUP(M457, NgachLuongData, 2, FALSE))</f>
      </c>
      <c r="AE457" s="0">
        <f>IF(N457="", "", VLOOKUP(N457, BacLuongData, 2, FALSE))</f>
      </c>
      <c r="AF457" s="0">
        <f>IF(P457="", "", VLOOKUP(P457, DanhSachCodeId, 3, FALSE))</f>
      </c>
    </row>
    <row r="458">
      <c r="A458" s="0">
        <f>IF(B458="", "", VLOOKUP(B458, DanhSachCodeId, 3, FALSE))</f>
      </c>
      <c r="C458" s="0">
        <f>IF(B458="", "", VLOOKUP(B458, DanhSachNhanVien, 2, FALSE))</f>
      </c>
      <c r="Q458" s="0">
        <f>IF(P458="", "", VLOOKUP(P458, DanhSachNhanVien, 2, FALSE))</f>
      </c>
      <c r="Z458" s="0">
        <f>IF(D458="", "", VLOOKUP(D458, DanhSachLoaiQuyetDinhRange, 2, FALSE))</f>
      </c>
      <c r="AA458" s="0">
        <f>IF(I458="", "", VLOOKUP(I458, DanhSachPhongBanRange, 2, FALSE))</f>
      </c>
      <c r="AB458" s="0">
        <f>IF(J458="", "", VLOOKUP(J458, DanhSachChucDanhRange, 2, FALSE))</f>
      </c>
      <c r="AC458" s="0">
        <f>IF(L458="", "", VLOOKUP(L458, ThangLuongData, 2, FALSE))</f>
      </c>
      <c r="AD458" s="0">
        <f>IF(M458="", "", VLOOKUP(M458, NgachLuongData, 2, FALSE))</f>
      </c>
      <c r="AE458" s="0">
        <f>IF(N458="", "", VLOOKUP(N458, BacLuongData, 2, FALSE))</f>
      </c>
      <c r="AF458" s="0">
        <f>IF(P458="", "", VLOOKUP(P458, DanhSachCodeId, 3, FALSE))</f>
      </c>
    </row>
    <row r="459">
      <c r="A459" s="0">
        <f>IF(B459="", "", VLOOKUP(B459, DanhSachCodeId, 3, FALSE))</f>
      </c>
      <c r="C459" s="0">
        <f>IF(B459="", "", VLOOKUP(B459, DanhSachNhanVien, 2, FALSE))</f>
      </c>
      <c r="Q459" s="0">
        <f>IF(P459="", "", VLOOKUP(P459, DanhSachNhanVien, 2, FALSE))</f>
      </c>
      <c r="Z459" s="0">
        <f>IF(D459="", "", VLOOKUP(D459, DanhSachLoaiQuyetDinhRange, 2, FALSE))</f>
      </c>
      <c r="AA459" s="0">
        <f>IF(I459="", "", VLOOKUP(I459, DanhSachPhongBanRange, 2, FALSE))</f>
      </c>
      <c r="AB459" s="0">
        <f>IF(J459="", "", VLOOKUP(J459, DanhSachChucDanhRange, 2, FALSE))</f>
      </c>
      <c r="AC459" s="0">
        <f>IF(L459="", "", VLOOKUP(L459, ThangLuongData, 2, FALSE))</f>
      </c>
      <c r="AD459" s="0">
        <f>IF(M459="", "", VLOOKUP(M459, NgachLuongData, 2, FALSE))</f>
      </c>
      <c r="AE459" s="0">
        <f>IF(N459="", "", VLOOKUP(N459, BacLuongData, 2, FALSE))</f>
      </c>
      <c r="AF459" s="0">
        <f>IF(P459="", "", VLOOKUP(P459, DanhSachCodeId, 3, FALSE))</f>
      </c>
    </row>
    <row r="460">
      <c r="A460" s="0">
        <f>IF(B460="", "", VLOOKUP(B460, DanhSachCodeId, 3, FALSE))</f>
      </c>
      <c r="C460" s="0">
        <f>IF(B460="", "", VLOOKUP(B460, DanhSachNhanVien, 2, FALSE))</f>
      </c>
      <c r="Q460" s="0">
        <f>IF(P460="", "", VLOOKUP(P460, DanhSachNhanVien, 2, FALSE))</f>
      </c>
      <c r="Z460" s="0">
        <f>IF(D460="", "", VLOOKUP(D460, DanhSachLoaiQuyetDinhRange, 2, FALSE))</f>
      </c>
      <c r="AA460" s="0">
        <f>IF(I460="", "", VLOOKUP(I460, DanhSachPhongBanRange, 2, FALSE))</f>
      </c>
      <c r="AB460" s="0">
        <f>IF(J460="", "", VLOOKUP(J460, DanhSachChucDanhRange, 2, FALSE))</f>
      </c>
      <c r="AC460" s="0">
        <f>IF(L460="", "", VLOOKUP(L460, ThangLuongData, 2, FALSE))</f>
      </c>
      <c r="AD460" s="0">
        <f>IF(M460="", "", VLOOKUP(M460, NgachLuongData, 2, FALSE))</f>
      </c>
      <c r="AE460" s="0">
        <f>IF(N460="", "", VLOOKUP(N460, BacLuongData, 2, FALSE))</f>
      </c>
      <c r="AF460" s="0">
        <f>IF(P460="", "", VLOOKUP(P460, DanhSachCodeId, 3, FALSE))</f>
      </c>
    </row>
    <row r="461">
      <c r="A461" s="0">
        <f>IF(B461="", "", VLOOKUP(B461, DanhSachCodeId, 3, FALSE))</f>
      </c>
      <c r="C461" s="0">
        <f>IF(B461="", "", VLOOKUP(B461, DanhSachNhanVien, 2, FALSE))</f>
      </c>
      <c r="Q461" s="0">
        <f>IF(P461="", "", VLOOKUP(P461, DanhSachNhanVien, 2, FALSE))</f>
      </c>
      <c r="Z461" s="0">
        <f>IF(D461="", "", VLOOKUP(D461, DanhSachLoaiQuyetDinhRange, 2, FALSE))</f>
      </c>
      <c r="AA461" s="0">
        <f>IF(I461="", "", VLOOKUP(I461, DanhSachPhongBanRange, 2, FALSE))</f>
      </c>
      <c r="AB461" s="0">
        <f>IF(J461="", "", VLOOKUP(J461, DanhSachChucDanhRange, 2, FALSE))</f>
      </c>
      <c r="AC461" s="0">
        <f>IF(L461="", "", VLOOKUP(L461, ThangLuongData, 2, FALSE))</f>
      </c>
      <c r="AD461" s="0">
        <f>IF(M461="", "", VLOOKUP(M461, NgachLuongData, 2, FALSE))</f>
      </c>
      <c r="AE461" s="0">
        <f>IF(N461="", "", VLOOKUP(N461, BacLuongData, 2, FALSE))</f>
      </c>
      <c r="AF461" s="0">
        <f>IF(P461="", "", VLOOKUP(P461, DanhSachCodeId, 3, FALSE))</f>
      </c>
    </row>
    <row r="462">
      <c r="A462" s="0">
        <f>IF(B462="", "", VLOOKUP(B462, DanhSachCodeId, 3, FALSE))</f>
      </c>
      <c r="C462" s="0">
        <f>IF(B462="", "", VLOOKUP(B462, DanhSachNhanVien, 2, FALSE))</f>
      </c>
      <c r="Q462" s="0">
        <f>IF(P462="", "", VLOOKUP(P462, DanhSachNhanVien, 2, FALSE))</f>
      </c>
      <c r="Z462" s="0">
        <f>IF(D462="", "", VLOOKUP(D462, DanhSachLoaiQuyetDinhRange, 2, FALSE))</f>
      </c>
      <c r="AA462" s="0">
        <f>IF(I462="", "", VLOOKUP(I462, DanhSachPhongBanRange, 2, FALSE))</f>
      </c>
      <c r="AB462" s="0">
        <f>IF(J462="", "", VLOOKUP(J462, DanhSachChucDanhRange, 2, FALSE))</f>
      </c>
      <c r="AC462" s="0">
        <f>IF(L462="", "", VLOOKUP(L462, ThangLuongData, 2, FALSE))</f>
      </c>
      <c r="AD462" s="0">
        <f>IF(M462="", "", VLOOKUP(M462, NgachLuongData, 2, FALSE))</f>
      </c>
      <c r="AE462" s="0">
        <f>IF(N462="", "", VLOOKUP(N462, BacLuongData, 2, FALSE))</f>
      </c>
      <c r="AF462" s="0">
        <f>IF(P462="", "", VLOOKUP(P462, DanhSachCodeId, 3, FALSE))</f>
      </c>
    </row>
    <row r="463">
      <c r="A463" s="0">
        <f>IF(B463="", "", VLOOKUP(B463, DanhSachCodeId, 3, FALSE))</f>
      </c>
      <c r="C463" s="0">
        <f>IF(B463="", "", VLOOKUP(B463, DanhSachNhanVien, 2, FALSE))</f>
      </c>
      <c r="Q463" s="0">
        <f>IF(P463="", "", VLOOKUP(P463, DanhSachNhanVien, 2, FALSE))</f>
      </c>
      <c r="Z463" s="0">
        <f>IF(D463="", "", VLOOKUP(D463, DanhSachLoaiQuyetDinhRange, 2, FALSE))</f>
      </c>
      <c r="AA463" s="0">
        <f>IF(I463="", "", VLOOKUP(I463, DanhSachPhongBanRange, 2, FALSE))</f>
      </c>
      <c r="AB463" s="0">
        <f>IF(J463="", "", VLOOKUP(J463, DanhSachChucDanhRange, 2, FALSE))</f>
      </c>
      <c r="AC463" s="0">
        <f>IF(L463="", "", VLOOKUP(L463, ThangLuongData, 2, FALSE))</f>
      </c>
      <c r="AD463" s="0">
        <f>IF(M463="", "", VLOOKUP(M463, NgachLuongData, 2, FALSE))</f>
      </c>
      <c r="AE463" s="0">
        <f>IF(N463="", "", VLOOKUP(N463, BacLuongData, 2, FALSE))</f>
      </c>
      <c r="AF463" s="0">
        <f>IF(P463="", "", VLOOKUP(P463, DanhSachCodeId, 3, FALSE))</f>
      </c>
    </row>
    <row r="464">
      <c r="A464" s="0">
        <f>IF(B464="", "", VLOOKUP(B464, DanhSachCodeId, 3, FALSE))</f>
      </c>
      <c r="C464" s="0">
        <f>IF(B464="", "", VLOOKUP(B464, DanhSachNhanVien, 2, FALSE))</f>
      </c>
      <c r="Q464" s="0">
        <f>IF(P464="", "", VLOOKUP(P464, DanhSachNhanVien, 2, FALSE))</f>
      </c>
      <c r="Z464" s="0">
        <f>IF(D464="", "", VLOOKUP(D464, DanhSachLoaiQuyetDinhRange, 2, FALSE))</f>
      </c>
      <c r="AA464" s="0">
        <f>IF(I464="", "", VLOOKUP(I464, DanhSachPhongBanRange, 2, FALSE))</f>
      </c>
      <c r="AB464" s="0">
        <f>IF(J464="", "", VLOOKUP(J464, DanhSachChucDanhRange, 2, FALSE))</f>
      </c>
      <c r="AC464" s="0">
        <f>IF(L464="", "", VLOOKUP(L464, ThangLuongData, 2, FALSE))</f>
      </c>
      <c r="AD464" s="0">
        <f>IF(M464="", "", VLOOKUP(M464, NgachLuongData, 2, FALSE))</f>
      </c>
      <c r="AE464" s="0">
        <f>IF(N464="", "", VLOOKUP(N464, BacLuongData, 2, FALSE))</f>
      </c>
      <c r="AF464" s="0">
        <f>IF(P464="", "", VLOOKUP(P464, DanhSachCodeId, 3, FALSE))</f>
      </c>
    </row>
    <row r="465">
      <c r="A465" s="0">
        <f>IF(B465="", "", VLOOKUP(B465, DanhSachCodeId, 3, FALSE))</f>
      </c>
      <c r="C465" s="0">
        <f>IF(B465="", "", VLOOKUP(B465, DanhSachNhanVien, 2, FALSE))</f>
      </c>
      <c r="Q465" s="0">
        <f>IF(P465="", "", VLOOKUP(P465, DanhSachNhanVien, 2, FALSE))</f>
      </c>
      <c r="Z465" s="0">
        <f>IF(D465="", "", VLOOKUP(D465, DanhSachLoaiQuyetDinhRange, 2, FALSE))</f>
      </c>
      <c r="AA465" s="0">
        <f>IF(I465="", "", VLOOKUP(I465, DanhSachPhongBanRange, 2, FALSE))</f>
      </c>
      <c r="AB465" s="0">
        <f>IF(J465="", "", VLOOKUP(J465, DanhSachChucDanhRange, 2, FALSE))</f>
      </c>
      <c r="AC465" s="0">
        <f>IF(L465="", "", VLOOKUP(L465, ThangLuongData, 2, FALSE))</f>
      </c>
      <c r="AD465" s="0">
        <f>IF(M465="", "", VLOOKUP(M465, NgachLuongData, 2, FALSE))</f>
      </c>
      <c r="AE465" s="0">
        <f>IF(N465="", "", VLOOKUP(N465, BacLuongData, 2, FALSE))</f>
      </c>
      <c r="AF465" s="0">
        <f>IF(P465="", "", VLOOKUP(P465, DanhSachCodeId, 3, FALSE))</f>
      </c>
    </row>
    <row r="466">
      <c r="A466" s="0">
        <f>IF(B466="", "", VLOOKUP(B466, DanhSachCodeId, 3, FALSE))</f>
      </c>
      <c r="C466" s="0">
        <f>IF(B466="", "", VLOOKUP(B466, DanhSachNhanVien, 2, FALSE))</f>
      </c>
      <c r="Q466" s="0">
        <f>IF(P466="", "", VLOOKUP(P466, DanhSachNhanVien, 2, FALSE))</f>
      </c>
      <c r="Z466" s="0">
        <f>IF(D466="", "", VLOOKUP(D466, DanhSachLoaiQuyetDinhRange, 2, FALSE))</f>
      </c>
      <c r="AA466" s="0">
        <f>IF(I466="", "", VLOOKUP(I466, DanhSachPhongBanRange, 2, FALSE))</f>
      </c>
      <c r="AB466" s="0">
        <f>IF(J466="", "", VLOOKUP(J466, DanhSachChucDanhRange, 2, FALSE))</f>
      </c>
      <c r="AC466" s="0">
        <f>IF(L466="", "", VLOOKUP(L466, ThangLuongData, 2, FALSE))</f>
      </c>
      <c r="AD466" s="0">
        <f>IF(M466="", "", VLOOKUP(M466, NgachLuongData, 2, FALSE))</f>
      </c>
      <c r="AE466" s="0">
        <f>IF(N466="", "", VLOOKUP(N466, BacLuongData, 2, FALSE))</f>
      </c>
      <c r="AF466" s="0">
        <f>IF(P466="", "", VLOOKUP(P466, DanhSachCodeId, 3, FALSE))</f>
      </c>
    </row>
    <row r="467">
      <c r="A467" s="0">
        <f>IF(B467="", "", VLOOKUP(B467, DanhSachCodeId, 3, FALSE))</f>
      </c>
      <c r="C467" s="0">
        <f>IF(B467="", "", VLOOKUP(B467, DanhSachNhanVien, 2, FALSE))</f>
      </c>
      <c r="Q467" s="0">
        <f>IF(P467="", "", VLOOKUP(P467, DanhSachNhanVien, 2, FALSE))</f>
      </c>
      <c r="Z467" s="0">
        <f>IF(D467="", "", VLOOKUP(D467, DanhSachLoaiQuyetDinhRange, 2, FALSE))</f>
      </c>
      <c r="AA467" s="0">
        <f>IF(I467="", "", VLOOKUP(I467, DanhSachPhongBanRange, 2, FALSE))</f>
      </c>
      <c r="AB467" s="0">
        <f>IF(J467="", "", VLOOKUP(J467, DanhSachChucDanhRange, 2, FALSE))</f>
      </c>
      <c r="AC467" s="0">
        <f>IF(L467="", "", VLOOKUP(L467, ThangLuongData, 2, FALSE))</f>
      </c>
      <c r="AD467" s="0">
        <f>IF(M467="", "", VLOOKUP(M467, NgachLuongData, 2, FALSE))</f>
      </c>
      <c r="AE467" s="0">
        <f>IF(N467="", "", VLOOKUP(N467, BacLuongData, 2, FALSE))</f>
      </c>
      <c r="AF467" s="0">
        <f>IF(P467="", "", VLOOKUP(P467, DanhSachCodeId, 3, FALSE))</f>
      </c>
    </row>
    <row r="468">
      <c r="A468" s="0">
        <f>IF(B468="", "", VLOOKUP(B468, DanhSachCodeId, 3, FALSE))</f>
      </c>
      <c r="C468" s="0">
        <f>IF(B468="", "", VLOOKUP(B468, DanhSachNhanVien, 2, FALSE))</f>
      </c>
      <c r="Q468" s="0">
        <f>IF(P468="", "", VLOOKUP(P468, DanhSachNhanVien, 2, FALSE))</f>
      </c>
      <c r="Z468" s="0">
        <f>IF(D468="", "", VLOOKUP(D468, DanhSachLoaiQuyetDinhRange, 2, FALSE))</f>
      </c>
      <c r="AA468" s="0">
        <f>IF(I468="", "", VLOOKUP(I468, DanhSachPhongBanRange, 2, FALSE))</f>
      </c>
      <c r="AB468" s="0">
        <f>IF(J468="", "", VLOOKUP(J468, DanhSachChucDanhRange, 2, FALSE))</f>
      </c>
      <c r="AC468" s="0">
        <f>IF(L468="", "", VLOOKUP(L468, ThangLuongData, 2, FALSE))</f>
      </c>
      <c r="AD468" s="0">
        <f>IF(M468="", "", VLOOKUP(M468, NgachLuongData, 2, FALSE))</f>
      </c>
      <c r="AE468" s="0">
        <f>IF(N468="", "", VLOOKUP(N468, BacLuongData, 2, FALSE))</f>
      </c>
      <c r="AF468" s="0">
        <f>IF(P468="", "", VLOOKUP(P468, DanhSachCodeId, 3, FALSE))</f>
      </c>
    </row>
    <row r="469">
      <c r="A469" s="0">
        <f>IF(B469="", "", VLOOKUP(B469, DanhSachCodeId, 3, FALSE))</f>
      </c>
      <c r="C469" s="0">
        <f>IF(B469="", "", VLOOKUP(B469, DanhSachNhanVien, 2, FALSE))</f>
      </c>
      <c r="Q469" s="0">
        <f>IF(P469="", "", VLOOKUP(P469, DanhSachNhanVien, 2, FALSE))</f>
      </c>
      <c r="Z469" s="0">
        <f>IF(D469="", "", VLOOKUP(D469, DanhSachLoaiQuyetDinhRange, 2, FALSE))</f>
      </c>
      <c r="AA469" s="0">
        <f>IF(I469="", "", VLOOKUP(I469, DanhSachPhongBanRange, 2, FALSE))</f>
      </c>
      <c r="AB469" s="0">
        <f>IF(J469="", "", VLOOKUP(J469, DanhSachChucDanhRange, 2, FALSE))</f>
      </c>
      <c r="AC469" s="0">
        <f>IF(L469="", "", VLOOKUP(L469, ThangLuongData, 2, FALSE))</f>
      </c>
      <c r="AD469" s="0">
        <f>IF(M469="", "", VLOOKUP(M469, NgachLuongData, 2, FALSE))</f>
      </c>
      <c r="AE469" s="0">
        <f>IF(N469="", "", VLOOKUP(N469, BacLuongData, 2, FALSE))</f>
      </c>
      <c r="AF469" s="0">
        <f>IF(P469="", "", VLOOKUP(P469, DanhSachCodeId, 3, FALSE))</f>
      </c>
    </row>
    <row r="470">
      <c r="A470" s="0">
        <f>IF(B470="", "", VLOOKUP(B470, DanhSachCodeId, 3, FALSE))</f>
      </c>
      <c r="C470" s="0">
        <f>IF(B470="", "", VLOOKUP(B470, DanhSachNhanVien, 2, FALSE))</f>
      </c>
      <c r="Q470" s="0">
        <f>IF(P470="", "", VLOOKUP(P470, DanhSachNhanVien, 2, FALSE))</f>
      </c>
      <c r="Z470" s="0">
        <f>IF(D470="", "", VLOOKUP(D470, DanhSachLoaiQuyetDinhRange, 2, FALSE))</f>
      </c>
      <c r="AA470" s="0">
        <f>IF(I470="", "", VLOOKUP(I470, DanhSachPhongBanRange, 2, FALSE))</f>
      </c>
      <c r="AB470" s="0">
        <f>IF(J470="", "", VLOOKUP(J470, DanhSachChucDanhRange, 2, FALSE))</f>
      </c>
      <c r="AC470" s="0">
        <f>IF(L470="", "", VLOOKUP(L470, ThangLuongData, 2, FALSE))</f>
      </c>
      <c r="AD470" s="0">
        <f>IF(M470="", "", VLOOKUP(M470, NgachLuongData, 2, FALSE))</f>
      </c>
      <c r="AE470" s="0">
        <f>IF(N470="", "", VLOOKUP(N470, BacLuongData, 2, FALSE))</f>
      </c>
      <c r="AF470" s="0">
        <f>IF(P470="", "", VLOOKUP(P470, DanhSachCodeId, 3, FALSE))</f>
      </c>
    </row>
    <row r="471">
      <c r="A471" s="0">
        <f>IF(B471="", "", VLOOKUP(B471, DanhSachCodeId, 3, FALSE))</f>
      </c>
      <c r="C471" s="0">
        <f>IF(B471="", "", VLOOKUP(B471, DanhSachNhanVien, 2, FALSE))</f>
      </c>
      <c r="Q471" s="0">
        <f>IF(P471="", "", VLOOKUP(P471, DanhSachNhanVien, 2, FALSE))</f>
      </c>
      <c r="Z471" s="0">
        <f>IF(D471="", "", VLOOKUP(D471, DanhSachLoaiQuyetDinhRange, 2, FALSE))</f>
      </c>
      <c r="AA471" s="0">
        <f>IF(I471="", "", VLOOKUP(I471, DanhSachPhongBanRange, 2, FALSE))</f>
      </c>
      <c r="AB471" s="0">
        <f>IF(J471="", "", VLOOKUP(J471, DanhSachChucDanhRange, 2, FALSE))</f>
      </c>
      <c r="AC471" s="0">
        <f>IF(L471="", "", VLOOKUP(L471, ThangLuongData, 2, FALSE))</f>
      </c>
      <c r="AD471" s="0">
        <f>IF(M471="", "", VLOOKUP(M471, NgachLuongData, 2, FALSE))</f>
      </c>
      <c r="AE471" s="0">
        <f>IF(N471="", "", VLOOKUP(N471, BacLuongData, 2, FALSE))</f>
      </c>
      <c r="AF471" s="0">
        <f>IF(P471="", "", VLOOKUP(P471, DanhSachCodeId, 3, FALSE))</f>
      </c>
    </row>
    <row r="472">
      <c r="A472" s="0">
        <f>IF(B472="", "", VLOOKUP(B472, DanhSachCodeId, 3, FALSE))</f>
      </c>
      <c r="C472" s="0">
        <f>IF(B472="", "", VLOOKUP(B472, DanhSachNhanVien, 2, FALSE))</f>
      </c>
      <c r="Q472" s="0">
        <f>IF(P472="", "", VLOOKUP(P472, DanhSachNhanVien, 2, FALSE))</f>
      </c>
      <c r="Z472" s="0">
        <f>IF(D472="", "", VLOOKUP(D472, DanhSachLoaiQuyetDinhRange, 2, FALSE))</f>
      </c>
      <c r="AA472" s="0">
        <f>IF(I472="", "", VLOOKUP(I472, DanhSachPhongBanRange, 2, FALSE))</f>
      </c>
      <c r="AB472" s="0">
        <f>IF(J472="", "", VLOOKUP(J472, DanhSachChucDanhRange, 2, FALSE))</f>
      </c>
      <c r="AC472" s="0">
        <f>IF(L472="", "", VLOOKUP(L472, ThangLuongData, 2, FALSE))</f>
      </c>
      <c r="AD472" s="0">
        <f>IF(M472="", "", VLOOKUP(M472, NgachLuongData, 2, FALSE))</f>
      </c>
      <c r="AE472" s="0">
        <f>IF(N472="", "", VLOOKUP(N472, BacLuongData, 2, FALSE))</f>
      </c>
      <c r="AF472" s="0">
        <f>IF(P472="", "", VLOOKUP(P472, DanhSachCodeId, 3, FALSE))</f>
      </c>
    </row>
    <row r="473">
      <c r="A473" s="0">
        <f>IF(B473="", "", VLOOKUP(B473, DanhSachCodeId, 3, FALSE))</f>
      </c>
      <c r="C473" s="0">
        <f>IF(B473="", "", VLOOKUP(B473, DanhSachNhanVien, 2, FALSE))</f>
      </c>
      <c r="Q473" s="0">
        <f>IF(P473="", "", VLOOKUP(P473, DanhSachNhanVien, 2, FALSE))</f>
      </c>
      <c r="Z473" s="0">
        <f>IF(D473="", "", VLOOKUP(D473, DanhSachLoaiQuyetDinhRange, 2, FALSE))</f>
      </c>
      <c r="AA473" s="0">
        <f>IF(I473="", "", VLOOKUP(I473, DanhSachPhongBanRange, 2, FALSE))</f>
      </c>
      <c r="AB473" s="0">
        <f>IF(J473="", "", VLOOKUP(J473, DanhSachChucDanhRange, 2, FALSE))</f>
      </c>
      <c r="AC473" s="0">
        <f>IF(L473="", "", VLOOKUP(L473, ThangLuongData, 2, FALSE))</f>
      </c>
      <c r="AD473" s="0">
        <f>IF(M473="", "", VLOOKUP(M473, NgachLuongData, 2, FALSE))</f>
      </c>
      <c r="AE473" s="0">
        <f>IF(N473="", "", VLOOKUP(N473, BacLuongData, 2, FALSE))</f>
      </c>
      <c r="AF473" s="0">
        <f>IF(P473="", "", VLOOKUP(P473, DanhSachCodeId, 3, FALSE))</f>
      </c>
    </row>
    <row r="474">
      <c r="A474" s="0">
        <f>IF(B474="", "", VLOOKUP(B474, DanhSachCodeId, 3, FALSE))</f>
      </c>
      <c r="C474" s="0">
        <f>IF(B474="", "", VLOOKUP(B474, DanhSachNhanVien, 2, FALSE))</f>
      </c>
      <c r="Q474" s="0">
        <f>IF(P474="", "", VLOOKUP(P474, DanhSachNhanVien, 2, FALSE))</f>
      </c>
      <c r="Z474" s="0">
        <f>IF(D474="", "", VLOOKUP(D474, DanhSachLoaiQuyetDinhRange, 2, FALSE))</f>
      </c>
      <c r="AA474" s="0">
        <f>IF(I474="", "", VLOOKUP(I474, DanhSachPhongBanRange, 2, FALSE))</f>
      </c>
      <c r="AB474" s="0">
        <f>IF(J474="", "", VLOOKUP(J474, DanhSachChucDanhRange, 2, FALSE))</f>
      </c>
      <c r="AC474" s="0">
        <f>IF(L474="", "", VLOOKUP(L474, ThangLuongData, 2, FALSE))</f>
      </c>
      <c r="AD474" s="0">
        <f>IF(M474="", "", VLOOKUP(M474, NgachLuongData, 2, FALSE))</f>
      </c>
      <c r="AE474" s="0">
        <f>IF(N474="", "", VLOOKUP(N474, BacLuongData, 2, FALSE))</f>
      </c>
      <c r="AF474" s="0">
        <f>IF(P474="", "", VLOOKUP(P474, DanhSachCodeId, 3, FALSE))</f>
      </c>
    </row>
    <row r="475">
      <c r="A475" s="0">
        <f>IF(B475="", "", VLOOKUP(B475, DanhSachCodeId, 3, FALSE))</f>
      </c>
      <c r="C475" s="0">
        <f>IF(B475="", "", VLOOKUP(B475, DanhSachNhanVien, 2, FALSE))</f>
      </c>
      <c r="Q475" s="0">
        <f>IF(P475="", "", VLOOKUP(P475, DanhSachNhanVien, 2, FALSE))</f>
      </c>
      <c r="Z475" s="0">
        <f>IF(D475="", "", VLOOKUP(D475, DanhSachLoaiQuyetDinhRange, 2, FALSE))</f>
      </c>
      <c r="AA475" s="0">
        <f>IF(I475="", "", VLOOKUP(I475, DanhSachPhongBanRange, 2, FALSE))</f>
      </c>
      <c r="AB475" s="0">
        <f>IF(J475="", "", VLOOKUP(J475, DanhSachChucDanhRange, 2, FALSE))</f>
      </c>
      <c r="AC475" s="0">
        <f>IF(L475="", "", VLOOKUP(L475, ThangLuongData, 2, FALSE))</f>
      </c>
      <c r="AD475" s="0">
        <f>IF(M475="", "", VLOOKUP(M475, NgachLuongData, 2, FALSE))</f>
      </c>
      <c r="AE475" s="0">
        <f>IF(N475="", "", VLOOKUP(N475, BacLuongData, 2, FALSE))</f>
      </c>
      <c r="AF475" s="0">
        <f>IF(P475="", "", VLOOKUP(P475, DanhSachCodeId, 3, FALSE))</f>
      </c>
    </row>
    <row r="476">
      <c r="A476" s="0">
        <f>IF(B476="", "", VLOOKUP(B476, DanhSachCodeId, 3, FALSE))</f>
      </c>
      <c r="C476" s="0">
        <f>IF(B476="", "", VLOOKUP(B476, DanhSachNhanVien, 2, FALSE))</f>
      </c>
      <c r="Q476" s="0">
        <f>IF(P476="", "", VLOOKUP(P476, DanhSachNhanVien, 2, FALSE))</f>
      </c>
      <c r="Z476" s="0">
        <f>IF(D476="", "", VLOOKUP(D476, DanhSachLoaiQuyetDinhRange, 2, FALSE))</f>
      </c>
      <c r="AA476" s="0">
        <f>IF(I476="", "", VLOOKUP(I476, DanhSachPhongBanRange, 2, FALSE))</f>
      </c>
      <c r="AB476" s="0">
        <f>IF(J476="", "", VLOOKUP(J476, DanhSachChucDanhRange, 2, FALSE))</f>
      </c>
      <c r="AC476" s="0">
        <f>IF(L476="", "", VLOOKUP(L476, ThangLuongData, 2, FALSE))</f>
      </c>
      <c r="AD476" s="0">
        <f>IF(M476="", "", VLOOKUP(M476, NgachLuongData, 2, FALSE))</f>
      </c>
      <c r="AE476" s="0">
        <f>IF(N476="", "", VLOOKUP(N476, BacLuongData, 2, FALSE))</f>
      </c>
      <c r="AF476" s="0">
        <f>IF(P476="", "", VLOOKUP(P476, DanhSachCodeId, 3, FALSE))</f>
      </c>
    </row>
    <row r="477">
      <c r="A477" s="0">
        <f>IF(B477="", "", VLOOKUP(B477, DanhSachCodeId, 3, FALSE))</f>
      </c>
      <c r="C477" s="0">
        <f>IF(B477="", "", VLOOKUP(B477, DanhSachNhanVien, 2, FALSE))</f>
      </c>
      <c r="Q477" s="0">
        <f>IF(P477="", "", VLOOKUP(P477, DanhSachNhanVien, 2, FALSE))</f>
      </c>
      <c r="Z477" s="0">
        <f>IF(D477="", "", VLOOKUP(D477, DanhSachLoaiQuyetDinhRange, 2, FALSE))</f>
      </c>
      <c r="AA477" s="0">
        <f>IF(I477="", "", VLOOKUP(I477, DanhSachPhongBanRange, 2, FALSE))</f>
      </c>
      <c r="AB477" s="0">
        <f>IF(J477="", "", VLOOKUP(J477, DanhSachChucDanhRange, 2, FALSE))</f>
      </c>
      <c r="AC477" s="0">
        <f>IF(L477="", "", VLOOKUP(L477, ThangLuongData, 2, FALSE))</f>
      </c>
      <c r="AD477" s="0">
        <f>IF(M477="", "", VLOOKUP(M477, NgachLuongData, 2, FALSE))</f>
      </c>
      <c r="AE477" s="0">
        <f>IF(N477="", "", VLOOKUP(N477, BacLuongData, 2, FALSE))</f>
      </c>
      <c r="AF477" s="0">
        <f>IF(P477="", "", VLOOKUP(P477, DanhSachCodeId, 3, FALSE))</f>
      </c>
    </row>
    <row r="478">
      <c r="A478" s="0">
        <f>IF(B478="", "", VLOOKUP(B478, DanhSachCodeId, 3, FALSE))</f>
      </c>
      <c r="C478" s="0">
        <f>IF(B478="", "", VLOOKUP(B478, DanhSachNhanVien, 2, FALSE))</f>
      </c>
      <c r="Q478" s="0">
        <f>IF(P478="", "", VLOOKUP(P478, DanhSachNhanVien, 2, FALSE))</f>
      </c>
      <c r="Z478" s="0">
        <f>IF(D478="", "", VLOOKUP(D478, DanhSachLoaiQuyetDinhRange, 2, FALSE))</f>
      </c>
      <c r="AA478" s="0">
        <f>IF(I478="", "", VLOOKUP(I478, DanhSachPhongBanRange, 2, FALSE))</f>
      </c>
      <c r="AB478" s="0">
        <f>IF(J478="", "", VLOOKUP(J478, DanhSachChucDanhRange, 2, FALSE))</f>
      </c>
      <c r="AC478" s="0">
        <f>IF(L478="", "", VLOOKUP(L478, ThangLuongData, 2, FALSE))</f>
      </c>
      <c r="AD478" s="0">
        <f>IF(M478="", "", VLOOKUP(M478, NgachLuongData, 2, FALSE))</f>
      </c>
      <c r="AE478" s="0">
        <f>IF(N478="", "", VLOOKUP(N478, BacLuongData, 2, FALSE))</f>
      </c>
      <c r="AF478" s="0">
        <f>IF(P478="", "", VLOOKUP(P478, DanhSachCodeId, 3, FALSE))</f>
      </c>
    </row>
    <row r="479">
      <c r="A479" s="0">
        <f>IF(B479="", "", VLOOKUP(B479, DanhSachCodeId, 3, FALSE))</f>
      </c>
      <c r="C479" s="0">
        <f>IF(B479="", "", VLOOKUP(B479, DanhSachNhanVien, 2, FALSE))</f>
      </c>
      <c r="Q479" s="0">
        <f>IF(P479="", "", VLOOKUP(P479, DanhSachNhanVien, 2, FALSE))</f>
      </c>
      <c r="Z479" s="0">
        <f>IF(D479="", "", VLOOKUP(D479, DanhSachLoaiQuyetDinhRange, 2, FALSE))</f>
      </c>
      <c r="AA479" s="0">
        <f>IF(I479="", "", VLOOKUP(I479, DanhSachPhongBanRange, 2, FALSE))</f>
      </c>
      <c r="AB479" s="0">
        <f>IF(J479="", "", VLOOKUP(J479, DanhSachChucDanhRange, 2, FALSE))</f>
      </c>
      <c r="AC479" s="0">
        <f>IF(L479="", "", VLOOKUP(L479, ThangLuongData, 2, FALSE))</f>
      </c>
      <c r="AD479" s="0">
        <f>IF(M479="", "", VLOOKUP(M479, NgachLuongData, 2, FALSE))</f>
      </c>
      <c r="AE479" s="0">
        <f>IF(N479="", "", VLOOKUP(N479, BacLuongData, 2, FALSE))</f>
      </c>
      <c r="AF479" s="0">
        <f>IF(P479="", "", VLOOKUP(P479, DanhSachCodeId, 3, FALSE))</f>
      </c>
    </row>
    <row r="480">
      <c r="A480" s="0">
        <f>IF(B480="", "", VLOOKUP(B480, DanhSachCodeId, 3, FALSE))</f>
      </c>
      <c r="C480" s="0">
        <f>IF(B480="", "", VLOOKUP(B480, DanhSachNhanVien, 2, FALSE))</f>
      </c>
      <c r="Q480" s="0">
        <f>IF(P480="", "", VLOOKUP(P480, DanhSachNhanVien, 2, FALSE))</f>
      </c>
      <c r="Z480" s="0">
        <f>IF(D480="", "", VLOOKUP(D480, DanhSachLoaiQuyetDinhRange, 2, FALSE))</f>
      </c>
      <c r="AA480" s="0">
        <f>IF(I480="", "", VLOOKUP(I480, DanhSachPhongBanRange, 2, FALSE))</f>
      </c>
      <c r="AB480" s="0">
        <f>IF(J480="", "", VLOOKUP(J480, DanhSachChucDanhRange, 2, FALSE))</f>
      </c>
      <c r="AC480" s="0">
        <f>IF(L480="", "", VLOOKUP(L480, ThangLuongData, 2, FALSE))</f>
      </c>
      <c r="AD480" s="0">
        <f>IF(M480="", "", VLOOKUP(M480, NgachLuongData, 2, FALSE))</f>
      </c>
      <c r="AE480" s="0">
        <f>IF(N480="", "", VLOOKUP(N480, BacLuongData, 2, FALSE))</f>
      </c>
      <c r="AF480" s="0">
        <f>IF(P480="", "", VLOOKUP(P480, DanhSachCodeId, 3, FALSE))</f>
      </c>
    </row>
    <row r="481">
      <c r="A481" s="0">
        <f>IF(B481="", "", VLOOKUP(B481, DanhSachCodeId, 3, FALSE))</f>
      </c>
      <c r="C481" s="0">
        <f>IF(B481="", "", VLOOKUP(B481, DanhSachNhanVien, 2, FALSE))</f>
      </c>
      <c r="Q481" s="0">
        <f>IF(P481="", "", VLOOKUP(P481, DanhSachNhanVien, 2, FALSE))</f>
      </c>
      <c r="Z481" s="0">
        <f>IF(D481="", "", VLOOKUP(D481, DanhSachLoaiQuyetDinhRange, 2, FALSE))</f>
      </c>
      <c r="AA481" s="0">
        <f>IF(I481="", "", VLOOKUP(I481, DanhSachPhongBanRange, 2, FALSE))</f>
      </c>
      <c r="AB481" s="0">
        <f>IF(J481="", "", VLOOKUP(J481, DanhSachChucDanhRange, 2, FALSE))</f>
      </c>
      <c r="AC481" s="0">
        <f>IF(L481="", "", VLOOKUP(L481, ThangLuongData, 2, FALSE))</f>
      </c>
      <c r="AD481" s="0">
        <f>IF(M481="", "", VLOOKUP(M481, NgachLuongData, 2, FALSE))</f>
      </c>
      <c r="AE481" s="0">
        <f>IF(N481="", "", VLOOKUP(N481, BacLuongData, 2, FALSE))</f>
      </c>
      <c r="AF481" s="0">
        <f>IF(P481="", "", VLOOKUP(P481, DanhSachCodeId, 3, FALSE))</f>
      </c>
    </row>
    <row r="482">
      <c r="A482" s="0">
        <f>IF(B482="", "", VLOOKUP(B482, DanhSachCodeId, 3, FALSE))</f>
      </c>
      <c r="C482" s="0">
        <f>IF(B482="", "", VLOOKUP(B482, DanhSachNhanVien, 2, FALSE))</f>
      </c>
      <c r="Q482" s="0">
        <f>IF(P482="", "", VLOOKUP(P482, DanhSachNhanVien, 2, FALSE))</f>
      </c>
      <c r="Z482" s="0">
        <f>IF(D482="", "", VLOOKUP(D482, DanhSachLoaiQuyetDinhRange, 2, FALSE))</f>
      </c>
      <c r="AA482" s="0">
        <f>IF(I482="", "", VLOOKUP(I482, DanhSachPhongBanRange, 2, FALSE))</f>
      </c>
      <c r="AB482" s="0">
        <f>IF(J482="", "", VLOOKUP(J482, DanhSachChucDanhRange, 2, FALSE))</f>
      </c>
      <c r="AC482" s="0">
        <f>IF(L482="", "", VLOOKUP(L482, ThangLuongData, 2, FALSE))</f>
      </c>
      <c r="AD482" s="0">
        <f>IF(M482="", "", VLOOKUP(M482, NgachLuongData, 2, FALSE))</f>
      </c>
      <c r="AE482" s="0">
        <f>IF(N482="", "", VLOOKUP(N482, BacLuongData, 2, FALSE))</f>
      </c>
      <c r="AF482" s="0">
        <f>IF(P482="", "", VLOOKUP(P482, DanhSachCodeId, 3, FALSE))</f>
      </c>
    </row>
    <row r="483">
      <c r="A483" s="0">
        <f>IF(B483="", "", VLOOKUP(B483, DanhSachCodeId, 3, FALSE))</f>
      </c>
      <c r="C483" s="0">
        <f>IF(B483="", "", VLOOKUP(B483, DanhSachNhanVien, 2, FALSE))</f>
      </c>
      <c r="Q483" s="0">
        <f>IF(P483="", "", VLOOKUP(P483, DanhSachNhanVien, 2, FALSE))</f>
      </c>
      <c r="Z483" s="0">
        <f>IF(D483="", "", VLOOKUP(D483, DanhSachLoaiQuyetDinhRange, 2, FALSE))</f>
      </c>
      <c r="AA483" s="0">
        <f>IF(I483="", "", VLOOKUP(I483, DanhSachPhongBanRange, 2, FALSE))</f>
      </c>
      <c r="AB483" s="0">
        <f>IF(J483="", "", VLOOKUP(J483, DanhSachChucDanhRange, 2, FALSE))</f>
      </c>
      <c r="AC483" s="0">
        <f>IF(L483="", "", VLOOKUP(L483, ThangLuongData, 2, FALSE))</f>
      </c>
      <c r="AD483" s="0">
        <f>IF(M483="", "", VLOOKUP(M483, NgachLuongData, 2, FALSE))</f>
      </c>
      <c r="AE483" s="0">
        <f>IF(N483="", "", VLOOKUP(N483, BacLuongData, 2, FALSE))</f>
      </c>
      <c r="AF483" s="0">
        <f>IF(P483="", "", VLOOKUP(P483, DanhSachCodeId, 3, FALSE))</f>
      </c>
    </row>
    <row r="484">
      <c r="A484" s="0">
        <f>IF(B484="", "", VLOOKUP(B484, DanhSachCodeId, 3, FALSE))</f>
      </c>
      <c r="C484" s="0">
        <f>IF(B484="", "", VLOOKUP(B484, DanhSachNhanVien, 2, FALSE))</f>
      </c>
      <c r="Q484" s="0">
        <f>IF(P484="", "", VLOOKUP(P484, DanhSachNhanVien, 2, FALSE))</f>
      </c>
      <c r="Z484" s="0">
        <f>IF(D484="", "", VLOOKUP(D484, DanhSachLoaiQuyetDinhRange, 2, FALSE))</f>
      </c>
      <c r="AA484" s="0">
        <f>IF(I484="", "", VLOOKUP(I484, DanhSachPhongBanRange, 2, FALSE))</f>
      </c>
      <c r="AB484" s="0">
        <f>IF(J484="", "", VLOOKUP(J484, DanhSachChucDanhRange, 2, FALSE))</f>
      </c>
      <c r="AC484" s="0">
        <f>IF(L484="", "", VLOOKUP(L484, ThangLuongData, 2, FALSE))</f>
      </c>
      <c r="AD484" s="0">
        <f>IF(M484="", "", VLOOKUP(M484, NgachLuongData, 2, FALSE))</f>
      </c>
      <c r="AE484" s="0">
        <f>IF(N484="", "", VLOOKUP(N484, BacLuongData, 2, FALSE))</f>
      </c>
      <c r="AF484" s="0">
        <f>IF(P484="", "", VLOOKUP(P484, DanhSachCodeId, 3, FALSE))</f>
      </c>
    </row>
    <row r="485">
      <c r="A485" s="0">
        <f>IF(B485="", "", VLOOKUP(B485, DanhSachCodeId, 3, FALSE))</f>
      </c>
      <c r="C485" s="0">
        <f>IF(B485="", "", VLOOKUP(B485, DanhSachNhanVien, 2, FALSE))</f>
      </c>
      <c r="Q485" s="0">
        <f>IF(P485="", "", VLOOKUP(P485, DanhSachNhanVien, 2, FALSE))</f>
      </c>
      <c r="Z485" s="0">
        <f>IF(D485="", "", VLOOKUP(D485, DanhSachLoaiQuyetDinhRange, 2, FALSE))</f>
      </c>
      <c r="AA485" s="0">
        <f>IF(I485="", "", VLOOKUP(I485, DanhSachPhongBanRange, 2, FALSE))</f>
      </c>
      <c r="AB485" s="0">
        <f>IF(J485="", "", VLOOKUP(J485, DanhSachChucDanhRange, 2, FALSE))</f>
      </c>
      <c r="AC485" s="0">
        <f>IF(L485="", "", VLOOKUP(L485, ThangLuongData, 2, FALSE))</f>
      </c>
      <c r="AD485" s="0">
        <f>IF(M485="", "", VLOOKUP(M485, NgachLuongData, 2, FALSE))</f>
      </c>
      <c r="AE485" s="0">
        <f>IF(N485="", "", VLOOKUP(N485, BacLuongData, 2, FALSE))</f>
      </c>
      <c r="AF485" s="0">
        <f>IF(P485="", "", VLOOKUP(P485, DanhSachCodeId, 3, FALSE))</f>
      </c>
    </row>
    <row r="486">
      <c r="A486" s="0">
        <f>IF(B486="", "", VLOOKUP(B486, DanhSachCodeId, 3, FALSE))</f>
      </c>
      <c r="C486" s="0">
        <f>IF(B486="", "", VLOOKUP(B486, DanhSachNhanVien, 2, FALSE))</f>
      </c>
      <c r="Q486" s="0">
        <f>IF(P486="", "", VLOOKUP(P486, DanhSachNhanVien, 2, FALSE))</f>
      </c>
      <c r="Z486" s="0">
        <f>IF(D486="", "", VLOOKUP(D486, DanhSachLoaiQuyetDinhRange, 2, FALSE))</f>
      </c>
      <c r="AA486" s="0">
        <f>IF(I486="", "", VLOOKUP(I486, DanhSachPhongBanRange, 2, FALSE))</f>
      </c>
      <c r="AB486" s="0">
        <f>IF(J486="", "", VLOOKUP(J486, DanhSachChucDanhRange, 2, FALSE))</f>
      </c>
      <c r="AC486" s="0">
        <f>IF(L486="", "", VLOOKUP(L486, ThangLuongData, 2, FALSE))</f>
      </c>
      <c r="AD486" s="0">
        <f>IF(M486="", "", VLOOKUP(M486, NgachLuongData, 2, FALSE))</f>
      </c>
      <c r="AE486" s="0">
        <f>IF(N486="", "", VLOOKUP(N486, BacLuongData, 2, FALSE))</f>
      </c>
      <c r="AF486" s="0">
        <f>IF(P486="", "", VLOOKUP(P486, DanhSachCodeId, 3, FALSE))</f>
      </c>
    </row>
    <row r="487">
      <c r="A487" s="0">
        <f>IF(B487="", "", VLOOKUP(B487, DanhSachCodeId, 3, FALSE))</f>
      </c>
      <c r="C487" s="0">
        <f>IF(B487="", "", VLOOKUP(B487, DanhSachNhanVien, 2, FALSE))</f>
      </c>
      <c r="Q487" s="0">
        <f>IF(P487="", "", VLOOKUP(P487, DanhSachNhanVien, 2, FALSE))</f>
      </c>
      <c r="Z487" s="0">
        <f>IF(D487="", "", VLOOKUP(D487, DanhSachLoaiQuyetDinhRange, 2, FALSE))</f>
      </c>
      <c r="AA487" s="0">
        <f>IF(I487="", "", VLOOKUP(I487, DanhSachPhongBanRange, 2, FALSE))</f>
      </c>
      <c r="AB487" s="0">
        <f>IF(J487="", "", VLOOKUP(J487, DanhSachChucDanhRange, 2, FALSE))</f>
      </c>
      <c r="AC487" s="0">
        <f>IF(L487="", "", VLOOKUP(L487, ThangLuongData, 2, FALSE))</f>
      </c>
      <c r="AD487" s="0">
        <f>IF(M487="", "", VLOOKUP(M487, NgachLuongData, 2, FALSE))</f>
      </c>
      <c r="AE487" s="0">
        <f>IF(N487="", "", VLOOKUP(N487, BacLuongData, 2, FALSE))</f>
      </c>
      <c r="AF487" s="0">
        <f>IF(P487="", "", VLOOKUP(P487, DanhSachCodeId, 3, FALSE))</f>
      </c>
    </row>
    <row r="488">
      <c r="A488" s="0">
        <f>IF(B488="", "", VLOOKUP(B488, DanhSachCodeId, 3, FALSE))</f>
      </c>
      <c r="C488" s="0">
        <f>IF(B488="", "", VLOOKUP(B488, DanhSachNhanVien, 2, FALSE))</f>
      </c>
      <c r="Q488" s="0">
        <f>IF(P488="", "", VLOOKUP(P488, DanhSachNhanVien, 2, FALSE))</f>
      </c>
      <c r="Z488" s="0">
        <f>IF(D488="", "", VLOOKUP(D488, DanhSachLoaiQuyetDinhRange, 2, FALSE))</f>
      </c>
      <c r="AA488" s="0">
        <f>IF(I488="", "", VLOOKUP(I488, DanhSachPhongBanRange, 2, FALSE))</f>
      </c>
      <c r="AB488" s="0">
        <f>IF(J488="", "", VLOOKUP(J488, DanhSachChucDanhRange, 2, FALSE))</f>
      </c>
      <c r="AC488" s="0">
        <f>IF(L488="", "", VLOOKUP(L488, ThangLuongData, 2, FALSE))</f>
      </c>
      <c r="AD488" s="0">
        <f>IF(M488="", "", VLOOKUP(M488, NgachLuongData, 2, FALSE))</f>
      </c>
      <c r="AE488" s="0">
        <f>IF(N488="", "", VLOOKUP(N488, BacLuongData, 2, FALSE))</f>
      </c>
      <c r="AF488" s="0">
        <f>IF(P488="", "", VLOOKUP(P488, DanhSachCodeId, 3, FALSE))</f>
      </c>
    </row>
    <row r="489">
      <c r="A489" s="0">
        <f>IF(B489="", "", VLOOKUP(B489, DanhSachCodeId, 3, FALSE))</f>
      </c>
      <c r="C489" s="0">
        <f>IF(B489="", "", VLOOKUP(B489, DanhSachNhanVien, 2, FALSE))</f>
      </c>
      <c r="Q489" s="0">
        <f>IF(P489="", "", VLOOKUP(P489, DanhSachNhanVien, 2, FALSE))</f>
      </c>
      <c r="Z489" s="0">
        <f>IF(D489="", "", VLOOKUP(D489, DanhSachLoaiQuyetDinhRange, 2, FALSE))</f>
      </c>
      <c r="AA489" s="0">
        <f>IF(I489="", "", VLOOKUP(I489, DanhSachPhongBanRange, 2, FALSE))</f>
      </c>
      <c r="AB489" s="0">
        <f>IF(J489="", "", VLOOKUP(J489, DanhSachChucDanhRange, 2, FALSE))</f>
      </c>
      <c r="AC489" s="0">
        <f>IF(L489="", "", VLOOKUP(L489, ThangLuongData, 2, FALSE))</f>
      </c>
      <c r="AD489" s="0">
        <f>IF(M489="", "", VLOOKUP(M489, NgachLuongData, 2, FALSE))</f>
      </c>
      <c r="AE489" s="0">
        <f>IF(N489="", "", VLOOKUP(N489, BacLuongData, 2, FALSE))</f>
      </c>
      <c r="AF489" s="0">
        <f>IF(P489="", "", VLOOKUP(P489, DanhSachCodeId, 3, FALSE))</f>
      </c>
    </row>
    <row r="490">
      <c r="A490" s="0">
        <f>IF(B490="", "", VLOOKUP(B490, DanhSachCodeId, 3, FALSE))</f>
      </c>
      <c r="C490" s="0">
        <f>IF(B490="", "", VLOOKUP(B490, DanhSachNhanVien, 2, FALSE))</f>
      </c>
      <c r="Q490" s="0">
        <f>IF(P490="", "", VLOOKUP(P490, DanhSachNhanVien, 2, FALSE))</f>
      </c>
      <c r="Z490" s="0">
        <f>IF(D490="", "", VLOOKUP(D490, DanhSachLoaiQuyetDinhRange, 2, FALSE))</f>
      </c>
      <c r="AA490" s="0">
        <f>IF(I490="", "", VLOOKUP(I490, DanhSachPhongBanRange, 2, FALSE))</f>
      </c>
      <c r="AB490" s="0">
        <f>IF(J490="", "", VLOOKUP(J490, DanhSachChucDanhRange, 2, FALSE))</f>
      </c>
      <c r="AC490" s="0">
        <f>IF(L490="", "", VLOOKUP(L490, ThangLuongData, 2, FALSE))</f>
      </c>
      <c r="AD490" s="0">
        <f>IF(M490="", "", VLOOKUP(M490, NgachLuongData, 2, FALSE))</f>
      </c>
      <c r="AE490" s="0">
        <f>IF(N490="", "", VLOOKUP(N490, BacLuongData, 2, FALSE))</f>
      </c>
      <c r="AF490" s="0">
        <f>IF(P490="", "", VLOOKUP(P490, DanhSachCodeId, 3, FALSE))</f>
      </c>
    </row>
    <row r="491">
      <c r="A491" s="0">
        <f>IF(B491="", "", VLOOKUP(B491, DanhSachCodeId, 3, FALSE))</f>
      </c>
      <c r="C491" s="0">
        <f>IF(B491="", "", VLOOKUP(B491, DanhSachNhanVien, 2, FALSE))</f>
      </c>
      <c r="Q491" s="0">
        <f>IF(P491="", "", VLOOKUP(P491, DanhSachNhanVien, 2, FALSE))</f>
      </c>
      <c r="Z491" s="0">
        <f>IF(D491="", "", VLOOKUP(D491, DanhSachLoaiQuyetDinhRange, 2, FALSE))</f>
      </c>
      <c r="AA491" s="0">
        <f>IF(I491="", "", VLOOKUP(I491, DanhSachPhongBanRange, 2, FALSE))</f>
      </c>
      <c r="AB491" s="0">
        <f>IF(J491="", "", VLOOKUP(J491, DanhSachChucDanhRange, 2, FALSE))</f>
      </c>
      <c r="AC491" s="0">
        <f>IF(L491="", "", VLOOKUP(L491, ThangLuongData, 2, FALSE))</f>
      </c>
      <c r="AD491" s="0">
        <f>IF(M491="", "", VLOOKUP(M491, NgachLuongData, 2, FALSE))</f>
      </c>
      <c r="AE491" s="0">
        <f>IF(N491="", "", VLOOKUP(N491, BacLuongData, 2, FALSE))</f>
      </c>
      <c r="AF491" s="0">
        <f>IF(P491="", "", VLOOKUP(P491, DanhSachCodeId, 3, FALSE))</f>
      </c>
    </row>
    <row r="492">
      <c r="A492" s="0">
        <f>IF(B492="", "", VLOOKUP(B492, DanhSachCodeId, 3, FALSE))</f>
      </c>
      <c r="C492" s="0">
        <f>IF(B492="", "", VLOOKUP(B492, DanhSachNhanVien, 2, FALSE))</f>
      </c>
      <c r="Q492" s="0">
        <f>IF(P492="", "", VLOOKUP(P492, DanhSachNhanVien, 2, FALSE))</f>
      </c>
      <c r="Z492" s="0">
        <f>IF(D492="", "", VLOOKUP(D492, DanhSachLoaiQuyetDinhRange, 2, FALSE))</f>
      </c>
      <c r="AA492" s="0">
        <f>IF(I492="", "", VLOOKUP(I492, DanhSachPhongBanRange, 2, FALSE))</f>
      </c>
      <c r="AB492" s="0">
        <f>IF(J492="", "", VLOOKUP(J492, DanhSachChucDanhRange, 2, FALSE))</f>
      </c>
      <c r="AC492" s="0">
        <f>IF(L492="", "", VLOOKUP(L492, ThangLuongData, 2, FALSE))</f>
      </c>
      <c r="AD492" s="0">
        <f>IF(M492="", "", VLOOKUP(M492, NgachLuongData, 2, FALSE))</f>
      </c>
      <c r="AE492" s="0">
        <f>IF(N492="", "", VLOOKUP(N492, BacLuongData, 2, FALSE))</f>
      </c>
      <c r="AF492" s="0">
        <f>IF(P492="", "", VLOOKUP(P492, DanhSachCodeId, 3, FALSE))</f>
      </c>
    </row>
    <row r="493">
      <c r="A493" s="0">
        <f>IF(B493="", "", VLOOKUP(B493, DanhSachCodeId, 3, FALSE))</f>
      </c>
      <c r="C493" s="0">
        <f>IF(B493="", "", VLOOKUP(B493, DanhSachNhanVien, 2, FALSE))</f>
      </c>
      <c r="Q493" s="0">
        <f>IF(P493="", "", VLOOKUP(P493, DanhSachNhanVien, 2, FALSE))</f>
      </c>
      <c r="Z493" s="0">
        <f>IF(D493="", "", VLOOKUP(D493, DanhSachLoaiQuyetDinhRange, 2, FALSE))</f>
      </c>
      <c r="AA493" s="0">
        <f>IF(I493="", "", VLOOKUP(I493, DanhSachPhongBanRange, 2, FALSE))</f>
      </c>
      <c r="AB493" s="0">
        <f>IF(J493="", "", VLOOKUP(J493, DanhSachChucDanhRange, 2, FALSE))</f>
      </c>
      <c r="AC493" s="0">
        <f>IF(L493="", "", VLOOKUP(L493, ThangLuongData, 2, FALSE))</f>
      </c>
      <c r="AD493" s="0">
        <f>IF(M493="", "", VLOOKUP(M493, NgachLuongData, 2, FALSE))</f>
      </c>
      <c r="AE493" s="0">
        <f>IF(N493="", "", VLOOKUP(N493, BacLuongData, 2, FALSE))</f>
      </c>
      <c r="AF493" s="0">
        <f>IF(P493="", "", VLOOKUP(P493, DanhSachCodeId, 3, FALSE))</f>
      </c>
    </row>
    <row r="494">
      <c r="A494" s="0">
        <f>IF(B494="", "", VLOOKUP(B494, DanhSachCodeId, 3, FALSE))</f>
      </c>
      <c r="C494" s="0">
        <f>IF(B494="", "", VLOOKUP(B494, DanhSachNhanVien, 2, FALSE))</f>
      </c>
      <c r="Q494" s="0">
        <f>IF(P494="", "", VLOOKUP(P494, DanhSachNhanVien, 2, FALSE))</f>
      </c>
      <c r="Z494" s="0">
        <f>IF(D494="", "", VLOOKUP(D494, DanhSachLoaiQuyetDinhRange, 2, FALSE))</f>
      </c>
      <c r="AA494" s="0">
        <f>IF(I494="", "", VLOOKUP(I494, DanhSachPhongBanRange, 2, FALSE))</f>
      </c>
      <c r="AB494" s="0">
        <f>IF(J494="", "", VLOOKUP(J494, DanhSachChucDanhRange, 2, FALSE))</f>
      </c>
      <c r="AC494" s="0">
        <f>IF(L494="", "", VLOOKUP(L494, ThangLuongData, 2, FALSE))</f>
      </c>
      <c r="AD494" s="0">
        <f>IF(M494="", "", VLOOKUP(M494, NgachLuongData, 2, FALSE))</f>
      </c>
      <c r="AE494" s="0">
        <f>IF(N494="", "", VLOOKUP(N494, BacLuongData, 2, FALSE))</f>
      </c>
      <c r="AF494" s="0">
        <f>IF(P494="", "", VLOOKUP(P494, DanhSachCodeId, 3, FALSE))</f>
      </c>
    </row>
    <row r="495">
      <c r="A495" s="0">
        <f>IF(B495="", "", VLOOKUP(B495, DanhSachCodeId, 3, FALSE))</f>
      </c>
      <c r="C495" s="0">
        <f>IF(B495="", "", VLOOKUP(B495, DanhSachNhanVien, 2, FALSE))</f>
      </c>
      <c r="Q495" s="0">
        <f>IF(P495="", "", VLOOKUP(P495, DanhSachNhanVien, 2, FALSE))</f>
      </c>
      <c r="Z495" s="0">
        <f>IF(D495="", "", VLOOKUP(D495, DanhSachLoaiQuyetDinhRange, 2, FALSE))</f>
      </c>
      <c r="AA495" s="0">
        <f>IF(I495="", "", VLOOKUP(I495, DanhSachPhongBanRange, 2, FALSE))</f>
      </c>
      <c r="AB495" s="0">
        <f>IF(J495="", "", VLOOKUP(J495, DanhSachChucDanhRange, 2, FALSE))</f>
      </c>
      <c r="AC495" s="0">
        <f>IF(L495="", "", VLOOKUP(L495, ThangLuongData, 2, FALSE))</f>
      </c>
      <c r="AD495" s="0">
        <f>IF(M495="", "", VLOOKUP(M495, NgachLuongData, 2, FALSE))</f>
      </c>
      <c r="AE495" s="0">
        <f>IF(N495="", "", VLOOKUP(N495, BacLuongData, 2, FALSE))</f>
      </c>
      <c r="AF495" s="0">
        <f>IF(P495="", "", VLOOKUP(P495, DanhSachCodeId, 3, FALSE))</f>
      </c>
    </row>
    <row r="496">
      <c r="A496" s="0">
        <f>IF(B496="", "", VLOOKUP(B496, DanhSachCodeId, 3, FALSE))</f>
      </c>
      <c r="C496" s="0">
        <f>IF(B496="", "", VLOOKUP(B496, DanhSachNhanVien, 2, FALSE))</f>
      </c>
      <c r="Q496" s="0">
        <f>IF(P496="", "", VLOOKUP(P496, DanhSachNhanVien, 2, FALSE))</f>
      </c>
      <c r="Z496" s="0">
        <f>IF(D496="", "", VLOOKUP(D496, DanhSachLoaiQuyetDinhRange, 2, FALSE))</f>
      </c>
      <c r="AA496" s="0">
        <f>IF(I496="", "", VLOOKUP(I496, DanhSachPhongBanRange, 2, FALSE))</f>
      </c>
      <c r="AB496" s="0">
        <f>IF(J496="", "", VLOOKUP(J496, DanhSachChucDanhRange, 2, FALSE))</f>
      </c>
      <c r="AC496" s="0">
        <f>IF(L496="", "", VLOOKUP(L496, ThangLuongData, 2, FALSE))</f>
      </c>
      <c r="AD496" s="0">
        <f>IF(M496="", "", VLOOKUP(M496, NgachLuongData, 2, FALSE))</f>
      </c>
      <c r="AE496" s="0">
        <f>IF(N496="", "", VLOOKUP(N496, BacLuongData, 2, FALSE))</f>
      </c>
      <c r="AF496" s="0">
        <f>IF(P496="", "", VLOOKUP(P496, DanhSachCodeId, 3, FALSE))</f>
      </c>
    </row>
    <row r="497">
      <c r="A497" s="0">
        <f>IF(B497="", "", VLOOKUP(B497, DanhSachCodeId, 3, FALSE))</f>
      </c>
      <c r="C497" s="0">
        <f>IF(B497="", "", VLOOKUP(B497, DanhSachNhanVien, 2, FALSE))</f>
      </c>
      <c r="Q497" s="0">
        <f>IF(P497="", "", VLOOKUP(P497, DanhSachNhanVien, 2, FALSE))</f>
      </c>
      <c r="Z497" s="0">
        <f>IF(D497="", "", VLOOKUP(D497, DanhSachLoaiQuyetDinhRange, 2, FALSE))</f>
      </c>
      <c r="AA497" s="0">
        <f>IF(I497="", "", VLOOKUP(I497, DanhSachPhongBanRange, 2, FALSE))</f>
      </c>
      <c r="AB497" s="0">
        <f>IF(J497="", "", VLOOKUP(J497, DanhSachChucDanhRange, 2, FALSE))</f>
      </c>
      <c r="AC497" s="0">
        <f>IF(L497="", "", VLOOKUP(L497, ThangLuongData, 2, FALSE))</f>
      </c>
      <c r="AD497" s="0">
        <f>IF(M497="", "", VLOOKUP(M497, NgachLuongData, 2, FALSE))</f>
      </c>
      <c r="AE497" s="0">
        <f>IF(N497="", "", VLOOKUP(N497, BacLuongData, 2, FALSE))</f>
      </c>
      <c r="AF497" s="0">
        <f>IF(P497="", "", VLOOKUP(P497, DanhSachCodeId, 3, FALSE))</f>
      </c>
    </row>
    <row r="498">
      <c r="A498" s="0">
        <f>IF(B498="", "", VLOOKUP(B498, DanhSachCodeId, 3, FALSE))</f>
      </c>
      <c r="C498" s="0">
        <f>IF(B498="", "", VLOOKUP(B498, DanhSachNhanVien, 2, FALSE))</f>
      </c>
      <c r="Q498" s="0">
        <f>IF(P498="", "", VLOOKUP(P498, DanhSachNhanVien, 2, FALSE))</f>
      </c>
      <c r="Z498" s="0">
        <f>IF(D498="", "", VLOOKUP(D498, DanhSachLoaiQuyetDinhRange, 2, FALSE))</f>
      </c>
      <c r="AA498" s="0">
        <f>IF(I498="", "", VLOOKUP(I498, DanhSachPhongBanRange, 2, FALSE))</f>
      </c>
      <c r="AB498" s="0">
        <f>IF(J498="", "", VLOOKUP(J498, DanhSachChucDanhRange, 2, FALSE))</f>
      </c>
      <c r="AC498" s="0">
        <f>IF(L498="", "", VLOOKUP(L498, ThangLuongData, 2, FALSE))</f>
      </c>
      <c r="AD498" s="0">
        <f>IF(M498="", "", VLOOKUP(M498, NgachLuongData, 2, FALSE))</f>
      </c>
      <c r="AE498" s="0">
        <f>IF(N498="", "", VLOOKUP(N498, BacLuongData, 2, FALSE))</f>
      </c>
      <c r="AF498" s="0">
        <f>IF(P498="", "", VLOOKUP(P498, DanhSachCodeId, 3, FALSE))</f>
      </c>
    </row>
    <row r="499">
      <c r="A499" s="0">
        <f>IF(B499="", "", VLOOKUP(B499, DanhSachCodeId, 3, FALSE))</f>
      </c>
      <c r="C499" s="0">
        <f>IF(B499="", "", VLOOKUP(B499, DanhSachNhanVien, 2, FALSE))</f>
      </c>
      <c r="Q499" s="0">
        <f>IF(P499="", "", VLOOKUP(P499, DanhSachNhanVien, 2, FALSE))</f>
      </c>
      <c r="Z499" s="0">
        <f>IF(D499="", "", VLOOKUP(D499, DanhSachLoaiQuyetDinhRange, 2, FALSE))</f>
      </c>
      <c r="AA499" s="0">
        <f>IF(I499="", "", VLOOKUP(I499, DanhSachPhongBanRange, 2, FALSE))</f>
      </c>
      <c r="AB499" s="0">
        <f>IF(J499="", "", VLOOKUP(J499, DanhSachChucDanhRange, 2, FALSE))</f>
      </c>
      <c r="AC499" s="0">
        <f>IF(L499="", "", VLOOKUP(L499, ThangLuongData, 2, FALSE))</f>
      </c>
      <c r="AD499" s="0">
        <f>IF(M499="", "", VLOOKUP(M499, NgachLuongData, 2, FALSE))</f>
      </c>
      <c r="AE499" s="0">
        <f>IF(N499="", "", VLOOKUP(N499, BacLuongData, 2, FALSE))</f>
      </c>
      <c r="AF499" s="0">
        <f>IF(P499="", "", VLOOKUP(P499, DanhSachCodeId, 3, FALSE))</f>
      </c>
    </row>
    <row r="500">
      <c r="A500" s="0">
        <f>IF(B500="", "", VLOOKUP(B500, DanhSachCodeId, 3, FALSE))</f>
      </c>
      <c r="C500" s="0">
        <f>IF(B500="", "", VLOOKUP(B500, DanhSachNhanVien, 2, FALSE))</f>
      </c>
      <c r="Q500" s="0">
        <f>IF(P500="", "", VLOOKUP(P500, DanhSachNhanVien, 2, FALSE))</f>
      </c>
      <c r="Z500" s="0">
        <f>IF(D500="", "", VLOOKUP(D500, DanhSachLoaiQuyetDinhRange, 2, FALSE))</f>
      </c>
      <c r="AA500" s="0">
        <f>IF(I500="", "", VLOOKUP(I500, DanhSachPhongBanRange, 2, FALSE))</f>
      </c>
      <c r="AB500" s="0">
        <f>IF(J500="", "", VLOOKUP(J500, DanhSachChucDanhRange, 2, FALSE))</f>
      </c>
      <c r="AC500" s="0">
        <f>IF(L500="", "", VLOOKUP(L500, ThangLuongData, 2, FALSE))</f>
      </c>
      <c r="AD500" s="0">
        <f>IF(M500="", "", VLOOKUP(M500, NgachLuongData, 2, FALSE))</f>
      </c>
      <c r="AE500" s="0">
        <f>IF(N500="", "", VLOOKUP(N500, BacLuongData, 2, FALSE))</f>
      </c>
      <c r="AF500" s="0">
        <f>IF(P500="", "", VLOOKUP(P500, DanhSachCodeId, 3, FALSE))</f>
      </c>
    </row>
    <row r="501">
      <c r="A501" s="0">
        <f>IF(B501="", "", VLOOKUP(B501, DanhSachCodeId, 3, FALSE))</f>
      </c>
      <c r="C501" s="0">
        <f>IF(B501="", "", VLOOKUP(B501, DanhSachNhanVien, 2, FALSE))</f>
      </c>
      <c r="Q501" s="0">
        <f>IF(P501="", "", VLOOKUP(P501, DanhSachNhanVien, 2, FALSE))</f>
      </c>
      <c r="Z501" s="0">
        <f>IF(D501="", "", VLOOKUP(D501, DanhSachLoaiQuyetDinhRange, 2, FALSE))</f>
      </c>
      <c r="AA501" s="0">
        <f>IF(I501="", "", VLOOKUP(I501, DanhSachPhongBanRange, 2, FALSE))</f>
      </c>
      <c r="AB501" s="0">
        <f>IF(J501="", "", VLOOKUP(J501, DanhSachChucDanhRange, 2, FALSE))</f>
      </c>
      <c r="AC501" s="0">
        <f>IF(L501="", "", VLOOKUP(L501, ThangLuongData, 2, FALSE))</f>
      </c>
      <c r="AD501" s="0">
        <f>IF(M501="", "", VLOOKUP(M501, NgachLuongData, 2, FALSE))</f>
      </c>
      <c r="AE501" s="0">
        <f>IF(N501="", "", VLOOKUP(N501, BacLuongData, 2, FALSE))</f>
      </c>
      <c r="AF501" s="0">
        <f>IF(P501="", "", VLOOKUP(P501, DanhSachCodeId, 3, FALSE))</f>
      </c>
    </row>
    <row r="502">
      <c r="A502" s="0">
        <f>IF(B502="", "", VLOOKUP(B502, DanhSachCodeId, 3, FALSE))</f>
      </c>
      <c r="C502" s="0">
        <f>IF(B502="", "", VLOOKUP(B502, DanhSachNhanVien, 2, FALSE))</f>
      </c>
      <c r="Q502" s="0">
        <f>IF(P502="", "", VLOOKUP(P502, DanhSachNhanVien, 2, FALSE))</f>
      </c>
      <c r="Z502" s="0">
        <f>IF(D502="", "", VLOOKUP(D502, DanhSachLoaiQuyetDinhRange, 2, FALSE))</f>
      </c>
      <c r="AA502" s="0">
        <f>IF(I502="", "", VLOOKUP(I502, DanhSachPhongBanRange, 2, FALSE))</f>
      </c>
      <c r="AB502" s="0">
        <f>IF(J502="", "", VLOOKUP(J502, DanhSachChucDanhRange, 2, FALSE))</f>
      </c>
      <c r="AC502" s="0">
        <f>IF(L502="", "", VLOOKUP(L502, ThangLuongData, 2, FALSE))</f>
      </c>
      <c r="AD502" s="0">
        <f>IF(M502="", "", VLOOKUP(M502, NgachLuongData, 2, FALSE))</f>
      </c>
      <c r="AE502" s="0">
        <f>IF(N502="", "", VLOOKUP(N502, BacLuongData, 2, FALSE))</f>
      </c>
      <c r="AF502" s="0">
        <f>IF(P502="", "", VLOOKUP(P502, DanhSachCodeId, 3, FALSE))</f>
      </c>
    </row>
    <row r="503">
      <c r="A503" s="0">
        <f>IF(B503="", "", VLOOKUP(B503, DanhSachCodeId, 3, FALSE))</f>
      </c>
      <c r="C503" s="0">
        <f>IF(B503="", "", VLOOKUP(B503, DanhSachNhanVien, 2, FALSE))</f>
      </c>
      <c r="Q503" s="0">
        <f>IF(P503="", "", VLOOKUP(P503, DanhSachNhanVien, 2, FALSE))</f>
      </c>
      <c r="Z503" s="0">
        <f>IF(D503="", "", VLOOKUP(D503, DanhSachLoaiQuyetDinhRange, 2, FALSE))</f>
      </c>
      <c r="AA503" s="0">
        <f>IF(I503="", "", VLOOKUP(I503, DanhSachPhongBanRange, 2, FALSE))</f>
      </c>
      <c r="AB503" s="0">
        <f>IF(J503="", "", VLOOKUP(J503, DanhSachChucDanhRange, 2, FALSE))</f>
      </c>
      <c r="AC503" s="0">
        <f>IF(L503="", "", VLOOKUP(L503, ThangLuongData, 2, FALSE))</f>
      </c>
      <c r="AD503" s="0">
        <f>IF(M503="", "", VLOOKUP(M503, NgachLuongData, 2, FALSE))</f>
      </c>
      <c r="AE503" s="0">
        <f>IF(N503="", "", VLOOKUP(N503, BacLuongData, 2, FALSE))</f>
      </c>
      <c r="AF503" s="0">
        <f>IF(P503="", "", VLOOKUP(P503, DanhSachCodeId, 3, FALSE))</f>
      </c>
    </row>
    <row r="504">
      <c r="A504" s="0">
        <f>IF(B504="", "", VLOOKUP(B504, DanhSachCodeId, 3, FALSE))</f>
      </c>
      <c r="C504" s="0">
        <f>IF(B504="", "", VLOOKUP(B504, DanhSachNhanVien, 2, FALSE))</f>
      </c>
      <c r="Q504" s="0">
        <f>IF(P504="", "", VLOOKUP(P504, DanhSachNhanVien, 2, FALSE))</f>
      </c>
      <c r="Z504" s="0">
        <f>IF(D504="", "", VLOOKUP(D504, DanhSachLoaiQuyetDinhRange, 2, FALSE))</f>
      </c>
      <c r="AA504" s="0">
        <f>IF(I504="", "", VLOOKUP(I504, DanhSachPhongBanRange, 2, FALSE))</f>
      </c>
      <c r="AB504" s="0">
        <f>IF(J504="", "", VLOOKUP(J504, DanhSachChucDanhRange, 2, FALSE))</f>
      </c>
      <c r="AC504" s="0">
        <f>IF(L504="", "", VLOOKUP(L504, ThangLuongData, 2, FALSE))</f>
      </c>
      <c r="AD504" s="0">
        <f>IF(M504="", "", VLOOKUP(M504, NgachLuongData, 2, FALSE))</f>
      </c>
      <c r="AE504" s="0">
        <f>IF(N504="", "", VLOOKUP(N504, BacLuongData, 2, FALSE))</f>
      </c>
      <c r="AF504" s="0">
        <f>IF(P504="", "", VLOOKUP(P504, DanhSachCodeId, 3, FALSE))</f>
      </c>
    </row>
    <row r="505">
      <c r="A505" s="0">
        <f>IF(B505="", "", VLOOKUP(B505, DanhSachCodeId, 3, FALSE))</f>
      </c>
      <c r="C505" s="0">
        <f>IF(B505="", "", VLOOKUP(B505, DanhSachNhanVien, 2, FALSE))</f>
      </c>
      <c r="Q505" s="0">
        <f>IF(P505="", "", VLOOKUP(P505, DanhSachNhanVien, 2, FALSE))</f>
      </c>
      <c r="Z505" s="0">
        <f>IF(D505="", "", VLOOKUP(D505, DanhSachLoaiQuyetDinhRange, 2, FALSE))</f>
      </c>
      <c r="AA505" s="0">
        <f>IF(I505="", "", VLOOKUP(I505, DanhSachPhongBanRange, 2, FALSE))</f>
      </c>
      <c r="AB505" s="0">
        <f>IF(J505="", "", VLOOKUP(J505, DanhSachChucDanhRange, 2, FALSE))</f>
      </c>
      <c r="AC505" s="0">
        <f>IF(L505="", "", VLOOKUP(L505, ThangLuongData, 2, FALSE))</f>
      </c>
      <c r="AD505" s="0">
        <f>IF(M505="", "", VLOOKUP(M505, NgachLuongData, 2, FALSE))</f>
      </c>
      <c r="AE505" s="0">
        <f>IF(N505="", "", VLOOKUP(N505, BacLuongData, 2, FALSE))</f>
      </c>
      <c r="AF505" s="0">
        <f>IF(P505="", "", VLOOKUP(P505, DanhSachCodeId, 3, FALSE))</f>
      </c>
    </row>
    <row r="506">
      <c r="A506" s="0">
        <f>IF(B506="", "", VLOOKUP(B506, DanhSachCodeId, 3, FALSE))</f>
      </c>
      <c r="C506" s="0">
        <f>IF(B506="", "", VLOOKUP(B506, DanhSachNhanVien, 2, FALSE))</f>
      </c>
      <c r="Q506" s="0">
        <f>IF(P506="", "", VLOOKUP(P506, DanhSachNhanVien, 2, FALSE))</f>
      </c>
      <c r="Z506" s="0">
        <f>IF(D506="", "", VLOOKUP(D506, DanhSachLoaiQuyetDinhRange, 2, FALSE))</f>
      </c>
      <c r="AA506" s="0">
        <f>IF(I506="", "", VLOOKUP(I506, DanhSachPhongBanRange, 2, FALSE))</f>
      </c>
      <c r="AB506" s="0">
        <f>IF(J506="", "", VLOOKUP(J506, DanhSachChucDanhRange, 2, FALSE))</f>
      </c>
      <c r="AC506" s="0">
        <f>IF(L506="", "", VLOOKUP(L506, ThangLuongData, 2, FALSE))</f>
      </c>
      <c r="AD506" s="0">
        <f>IF(M506="", "", VLOOKUP(M506, NgachLuongData, 2, FALSE))</f>
      </c>
      <c r="AE506" s="0">
        <f>IF(N506="", "", VLOOKUP(N506, BacLuongData, 2, FALSE))</f>
      </c>
      <c r="AF506" s="0">
        <f>IF(P506="", "", VLOOKUP(P506, DanhSachCodeId, 3, FALSE))</f>
      </c>
    </row>
    <row r="507">
      <c r="A507" s="0">
        <f>IF(B507="", "", VLOOKUP(B507, DanhSachCodeId, 3, FALSE))</f>
      </c>
      <c r="C507" s="0">
        <f>IF(B507="", "", VLOOKUP(B507, DanhSachNhanVien, 2, FALSE))</f>
      </c>
      <c r="Q507" s="0">
        <f>IF(P507="", "", VLOOKUP(P507, DanhSachNhanVien, 2, FALSE))</f>
      </c>
      <c r="Z507" s="0">
        <f>IF(D507="", "", VLOOKUP(D507, DanhSachLoaiQuyetDinhRange, 2, FALSE))</f>
      </c>
      <c r="AA507" s="0">
        <f>IF(I507="", "", VLOOKUP(I507, DanhSachPhongBanRange, 2, FALSE))</f>
      </c>
      <c r="AB507" s="0">
        <f>IF(J507="", "", VLOOKUP(J507, DanhSachChucDanhRange, 2, FALSE))</f>
      </c>
      <c r="AC507" s="0">
        <f>IF(L507="", "", VLOOKUP(L507, ThangLuongData, 2, FALSE))</f>
      </c>
      <c r="AD507" s="0">
        <f>IF(M507="", "", VLOOKUP(M507, NgachLuongData, 2, FALSE))</f>
      </c>
      <c r="AE507" s="0">
        <f>IF(N507="", "", VLOOKUP(N507, BacLuongData, 2, FALSE))</f>
      </c>
      <c r="AF507" s="0">
        <f>IF(P507="", "", VLOOKUP(P507, DanhSachCodeId, 3, FALSE))</f>
      </c>
    </row>
    <row r="508">
      <c r="A508" s="0">
        <f>IF(B508="", "", VLOOKUP(B508, DanhSachCodeId, 3, FALSE))</f>
      </c>
      <c r="C508" s="0">
        <f>IF(B508="", "", VLOOKUP(B508, DanhSachNhanVien, 2, FALSE))</f>
      </c>
      <c r="Q508" s="0">
        <f>IF(P508="", "", VLOOKUP(P508, DanhSachNhanVien, 2, FALSE))</f>
      </c>
      <c r="Z508" s="0">
        <f>IF(D508="", "", VLOOKUP(D508, DanhSachLoaiQuyetDinhRange, 2, FALSE))</f>
      </c>
      <c r="AA508" s="0">
        <f>IF(I508="", "", VLOOKUP(I508, DanhSachPhongBanRange, 2, FALSE))</f>
      </c>
      <c r="AB508" s="0">
        <f>IF(J508="", "", VLOOKUP(J508, DanhSachChucDanhRange, 2, FALSE))</f>
      </c>
      <c r="AC508" s="0">
        <f>IF(L508="", "", VLOOKUP(L508, ThangLuongData, 2, FALSE))</f>
      </c>
      <c r="AD508" s="0">
        <f>IF(M508="", "", VLOOKUP(M508, NgachLuongData, 2, FALSE))</f>
      </c>
      <c r="AE508" s="0">
        <f>IF(N508="", "", VLOOKUP(N508, BacLuongData, 2, FALSE))</f>
      </c>
      <c r="AF508" s="0">
        <f>IF(P508="", "", VLOOKUP(P508, DanhSachCodeId, 3, FALSE))</f>
      </c>
    </row>
    <row r="509">
      <c r="A509" s="0">
        <f>IF(B509="", "", VLOOKUP(B509, DanhSachCodeId, 3, FALSE))</f>
      </c>
      <c r="C509" s="0">
        <f>IF(B509="", "", VLOOKUP(B509, DanhSachNhanVien, 2, FALSE))</f>
      </c>
      <c r="Q509" s="0">
        <f>IF(P509="", "", VLOOKUP(P509, DanhSachNhanVien, 2, FALSE))</f>
      </c>
      <c r="Z509" s="0">
        <f>IF(D509="", "", VLOOKUP(D509, DanhSachLoaiQuyetDinhRange, 2, FALSE))</f>
      </c>
      <c r="AA509" s="0">
        <f>IF(I509="", "", VLOOKUP(I509, DanhSachPhongBanRange, 2, FALSE))</f>
      </c>
      <c r="AB509" s="0">
        <f>IF(J509="", "", VLOOKUP(J509, DanhSachChucDanhRange, 2, FALSE))</f>
      </c>
      <c r="AC509" s="0">
        <f>IF(L509="", "", VLOOKUP(L509, ThangLuongData, 2, FALSE))</f>
      </c>
      <c r="AD509" s="0">
        <f>IF(M509="", "", VLOOKUP(M509, NgachLuongData, 2, FALSE))</f>
      </c>
      <c r="AE509" s="0">
        <f>IF(N509="", "", VLOOKUP(N509, BacLuongData, 2, FALSE))</f>
      </c>
      <c r="AF509" s="0">
        <f>IF(P509="", "", VLOOKUP(P509, DanhSachCodeId, 3, FALSE))</f>
      </c>
    </row>
    <row r="510">
      <c r="A510" s="0">
        <f>IF(B510="", "", VLOOKUP(B510, DanhSachCodeId, 3, FALSE))</f>
      </c>
      <c r="C510" s="0">
        <f>IF(B510="", "", VLOOKUP(B510, DanhSachNhanVien, 2, FALSE))</f>
      </c>
      <c r="Q510" s="0">
        <f>IF(P510="", "", VLOOKUP(P510, DanhSachNhanVien, 2, FALSE))</f>
      </c>
      <c r="Z510" s="0">
        <f>IF(D510="", "", VLOOKUP(D510, DanhSachLoaiQuyetDinhRange, 2, FALSE))</f>
      </c>
      <c r="AA510" s="0">
        <f>IF(I510="", "", VLOOKUP(I510, DanhSachPhongBanRange, 2, FALSE))</f>
      </c>
      <c r="AB510" s="0">
        <f>IF(J510="", "", VLOOKUP(J510, DanhSachChucDanhRange, 2, FALSE))</f>
      </c>
      <c r="AC510" s="0">
        <f>IF(L510="", "", VLOOKUP(L510, ThangLuongData, 2, FALSE))</f>
      </c>
      <c r="AD510" s="0">
        <f>IF(M510="", "", VLOOKUP(M510, NgachLuongData, 2, FALSE))</f>
      </c>
      <c r="AE510" s="0">
        <f>IF(N510="", "", VLOOKUP(N510, BacLuongData, 2, FALSE))</f>
      </c>
      <c r="AF510" s="0">
        <f>IF(P510="", "", VLOOKUP(P510, DanhSachCodeId, 3, FALSE))</f>
      </c>
    </row>
    <row r="511">
      <c r="A511" s="0">
        <f>IF(B511="", "", VLOOKUP(B511, DanhSachCodeId, 3, FALSE))</f>
      </c>
      <c r="C511" s="0">
        <f>IF(B511="", "", VLOOKUP(B511, DanhSachNhanVien, 2, FALSE))</f>
      </c>
      <c r="Q511" s="0">
        <f>IF(P511="", "", VLOOKUP(P511, DanhSachNhanVien, 2, FALSE))</f>
      </c>
      <c r="Z511" s="0">
        <f>IF(D511="", "", VLOOKUP(D511, DanhSachLoaiQuyetDinhRange, 2, FALSE))</f>
      </c>
      <c r="AA511" s="0">
        <f>IF(I511="", "", VLOOKUP(I511, DanhSachPhongBanRange, 2, FALSE))</f>
      </c>
      <c r="AB511" s="0">
        <f>IF(J511="", "", VLOOKUP(J511, DanhSachChucDanhRange, 2, FALSE))</f>
      </c>
      <c r="AC511" s="0">
        <f>IF(L511="", "", VLOOKUP(L511, ThangLuongData, 2, FALSE))</f>
      </c>
      <c r="AD511" s="0">
        <f>IF(M511="", "", VLOOKUP(M511, NgachLuongData, 2, FALSE))</f>
      </c>
      <c r="AE511" s="0">
        <f>IF(N511="", "", VLOOKUP(N511, BacLuongData, 2, FALSE))</f>
      </c>
      <c r="AF511" s="0">
        <f>IF(P511="", "", VLOOKUP(P511, DanhSachCodeId, 3, FALSE))</f>
      </c>
    </row>
    <row r="512">
      <c r="A512" s="0">
        <f>IF(B512="", "", VLOOKUP(B512, DanhSachCodeId, 3, FALSE))</f>
      </c>
      <c r="C512" s="0">
        <f>IF(B512="", "", VLOOKUP(B512, DanhSachNhanVien, 2, FALSE))</f>
      </c>
      <c r="Q512" s="0">
        <f>IF(P512="", "", VLOOKUP(P512, DanhSachNhanVien, 2, FALSE))</f>
      </c>
      <c r="Z512" s="0">
        <f>IF(D512="", "", VLOOKUP(D512, DanhSachLoaiQuyetDinhRange, 2, FALSE))</f>
      </c>
      <c r="AA512" s="0">
        <f>IF(I512="", "", VLOOKUP(I512, DanhSachPhongBanRange, 2, FALSE))</f>
      </c>
      <c r="AB512" s="0">
        <f>IF(J512="", "", VLOOKUP(J512, DanhSachChucDanhRange, 2, FALSE))</f>
      </c>
      <c r="AC512" s="0">
        <f>IF(L512="", "", VLOOKUP(L512, ThangLuongData, 2, FALSE))</f>
      </c>
      <c r="AD512" s="0">
        <f>IF(M512="", "", VLOOKUP(M512, NgachLuongData, 2, FALSE))</f>
      </c>
      <c r="AE512" s="0">
        <f>IF(N512="", "", VLOOKUP(N512, BacLuongData, 2, FALSE))</f>
      </c>
      <c r="AF512" s="0">
        <f>IF(P512="", "", VLOOKUP(P512, DanhSachCodeId, 3, FALSE))</f>
      </c>
    </row>
    <row r="513">
      <c r="A513" s="0">
        <f>IF(B513="", "", VLOOKUP(B513, DanhSachCodeId, 3, FALSE))</f>
      </c>
      <c r="C513" s="0">
        <f>IF(B513="", "", VLOOKUP(B513, DanhSachNhanVien, 2, FALSE))</f>
      </c>
      <c r="Q513" s="0">
        <f>IF(P513="", "", VLOOKUP(P513, DanhSachNhanVien, 2, FALSE))</f>
      </c>
      <c r="Z513" s="0">
        <f>IF(D513="", "", VLOOKUP(D513, DanhSachLoaiQuyetDinhRange, 2, FALSE))</f>
      </c>
      <c r="AA513" s="0">
        <f>IF(I513="", "", VLOOKUP(I513, DanhSachPhongBanRange, 2, FALSE))</f>
      </c>
      <c r="AB513" s="0">
        <f>IF(J513="", "", VLOOKUP(J513, DanhSachChucDanhRange, 2, FALSE))</f>
      </c>
      <c r="AC513" s="0">
        <f>IF(L513="", "", VLOOKUP(L513, ThangLuongData, 2, FALSE))</f>
      </c>
      <c r="AD513" s="0">
        <f>IF(M513="", "", VLOOKUP(M513, NgachLuongData, 2, FALSE))</f>
      </c>
      <c r="AE513" s="0">
        <f>IF(N513="", "", VLOOKUP(N513, BacLuongData, 2, FALSE))</f>
      </c>
      <c r="AF513" s="0">
        <f>IF(P513="", "", VLOOKUP(P513, DanhSachCodeId, 3, FALSE))</f>
      </c>
    </row>
    <row r="514">
      <c r="A514" s="0">
        <f>IF(B514="", "", VLOOKUP(B514, DanhSachCodeId, 3, FALSE))</f>
      </c>
      <c r="C514" s="0">
        <f>IF(B514="", "", VLOOKUP(B514, DanhSachNhanVien, 2, FALSE))</f>
      </c>
      <c r="Q514" s="0">
        <f>IF(P514="", "", VLOOKUP(P514, DanhSachNhanVien, 2, FALSE))</f>
      </c>
      <c r="Z514" s="0">
        <f>IF(D514="", "", VLOOKUP(D514, DanhSachLoaiQuyetDinhRange, 2, FALSE))</f>
      </c>
      <c r="AA514" s="0">
        <f>IF(I514="", "", VLOOKUP(I514, DanhSachPhongBanRange, 2, FALSE))</f>
      </c>
      <c r="AB514" s="0">
        <f>IF(J514="", "", VLOOKUP(J514, DanhSachChucDanhRange, 2, FALSE))</f>
      </c>
      <c r="AC514" s="0">
        <f>IF(L514="", "", VLOOKUP(L514, ThangLuongData, 2, FALSE))</f>
      </c>
      <c r="AD514" s="0">
        <f>IF(M514="", "", VLOOKUP(M514, NgachLuongData, 2, FALSE))</f>
      </c>
      <c r="AE514" s="0">
        <f>IF(N514="", "", VLOOKUP(N514, BacLuongData, 2, FALSE))</f>
      </c>
      <c r="AF514" s="0">
        <f>IF(P514="", "", VLOOKUP(P514, DanhSachCodeId, 3, FALSE))</f>
      </c>
    </row>
    <row r="515">
      <c r="A515" s="0">
        <f>IF(B515="", "", VLOOKUP(B515, DanhSachCodeId, 3, FALSE))</f>
      </c>
      <c r="C515" s="0">
        <f>IF(B515="", "", VLOOKUP(B515, DanhSachNhanVien, 2, FALSE))</f>
      </c>
      <c r="Q515" s="0">
        <f>IF(P515="", "", VLOOKUP(P515, DanhSachNhanVien, 2, FALSE))</f>
      </c>
      <c r="Z515" s="0">
        <f>IF(D515="", "", VLOOKUP(D515, DanhSachLoaiQuyetDinhRange, 2, FALSE))</f>
      </c>
      <c r="AA515" s="0">
        <f>IF(I515="", "", VLOOKUP(I515, DanhSachPhongBanRange, 2, FALSE))</f>
      </c>
      <c r="AB515" s="0">
        <f>IF(J515="", "", VLOOKUP(J515, DanhSachChucDanhRange, 2, FALSE))</f>
      </c>
      <c r="AC515" s="0">
        <f>IF(L515="", "", VLOOKUP(L515, ThangLuongData, 2, FALSE))</f>
      </c>
      <c r="AD515" s="0">
        <f>IF(M515="", "", VLOOKUP(M515, NgachLuongData, 2, FALSE))</f>
      </c>
      <c r="AE515" s="0">
        <f>IF(N515="", "", VLOOKUP(N515, BacLuongData, 2, FALSE))</f>
      </c>
      <c r="AF515" s="0">
        <f>IF(P515="", "", VLOOKUP(P515, DanhSachCodeId, 3, FALSE))</f>
      </c>
    </row>
    <row r="516">
      <c r="A516" s="0">
        <f>IF(B516="", "", VLOOKUP(B516, DanhSachCodeId, 3, FALSE))</f>
      </c>
      <c r="C516" s="0">
        <f>IF(B516="", "", VLOOKUP(B516, DanhSachNhanVien, 2, FALSE))</f>
      </c>
      <c r="Q516" s="0">
        <f>IF(P516="", "", VLOOKUP(P516, DanhSachNhanVien, 2, FALSE))</f>
      </c>
      <c r="Z516" s="0">
        <f>IF(D516="", "", VLOOKUP(D516, DanhSachLoaiQuyetDinhRange, 2, FALSE))</f>
      </c>
      <c r="AA516" s="0">
        <f>IF(I516="", "", VLOOKUP(I516, DanhSachPhongBanRange, 2, FALSE))</f>
      </c>
      <c r="AB516" s="0">
        <f>IF(J516="", "", VLOOKUP(J516, DanhSachChucDanhRange, 2, FALSE))</f>
      </c>
      <c r="AC516" s="0">
        <f>IF(L516="", "", VLOOKUP(L516, ThangLuongData, 2, FALSE))</f>
      </c>
      <c r="AD516" s="0">
        <f>IF(M516="", "", VLOOKUP(M516, NgachLuongData, 2, FALSE))</f>
      </c>
      <c r="AE516" s="0">
        <f>IF(N516="", "", VLOOKUP(N516, BacLuongData, 2, FALSE))</f>
      </c>
      <c r="AF516" s="0">
        <f>IF(P516="", "", VLOOKUP(P516, DanhSachCodeId, 3, FALSE))</f>
      </c>
    </row>
    <row r="517">
      <c r="A517" s="0">
        <f>IF(B517="", "", VLOOKUP(B517, DanhSachCodeId, 3, FALSE))</f>
      </c>
      <c r="C517" s="0">
        <f>IF(B517="", "", VLOOKUP(B517, DanhSachNhanVien, 2, FALSE))</f>
      </c>
      <c r="Q517" s="0">
        <f>IF(P517="", "", VLOOKUP(P517, DanhSachNhanVien, 2, FALSE))</f>
      </c>
      <c r="Z517" s="0">
        <f>IF(D517="", "", VLOOKUP(D517, DanhSachLoaiQuyetDinhRange, 2, FALSE))</f>
      </c>
      <c r="AA517" s="0">
        <f>IF(I517="", "", VLOOKUP(I517, DanhSachPhongBanRange, 2, FALSE))</f>
      </c>
      <c r="AB517" s="0">
        <f>IF(J517="", "", VLOOKUP(J517, DanhSachChucDanhRange, 2, FALSE))</f>
      </c>
      <c r="AC517" s="0">
        <f>IF(L517="", "", VLOOKUP(L517, ThangLuongData, 2, FALSE))</f>
      </c>
      <c r="AD517" s="0">
        <f>IF(M517="", "", VLOOKUP(M517, NgachLuongData, 2, FALSE))</f>
      </c>
      <c r="AE517" s="0">
        <f>IF(N517="", "", VLOOKUP(N517, BacLuongData, 2, FALSE))</f>
      </c>
      <c r="AF517" s="0">
        <f>IF(P517="", "", VLOOKUP(P517, DanhSachCodeId, 3, FALSE))</f>
      </c>
    </row>
    <row r="518">
      <c r="A518" s="0">
        <f>IF(B518="", "", VLOOKUP(B518, DanhSachCodeId, 3, FALSE))</f>
      </c>
      <c r="C518" s="0">
        <f>IF(B518="", "", VLOOKUP(B518, DanhSachNhanVien, 2, FALSE))</f>
      </c>
      <c r="Q518" s="0">
        <f>IF(P518="", "", VLOOKUP(P518, DanhSachNhanVien, 2, FALSE))</f>
      </c>
      <c r="Z518" s="0">
        <f>IF(D518="", "", VLOOKUP(D518, DanhSachLoaiQuyetDinhRange, 2, FALSE))</f>
      </c>
      <c r="AA518" s="0">
        <f>IF(I518="", "", VLOOKUP(I518, DanhSachPhongBanRange, 2, FALSE))</f>
      </c>
      <c r="AB518" s="0">
        <f>IF(J518="", "", VLOOKUP(J518, DanhSachChucDanhRange, 2, FALSE))</f>
      </c>
      <c r="AC518" s="0">
        <f>IF(L518="", "", VLOOKUP(L518, ThangLuongData, 2, FALSE))</f>
      </c>
      <c r="AD518" s="0">
        <f>IF(M518="", "", VLOOKUP(M518, NgachLuongData, 2, FALSE))</f>
      </c>
      <c r="AE518" s="0">
        <f>IF(N518="", "", VLOOKUP(N518, BacLuongData, 2, FALSE))</f>
      </c>
      <c r="AF518" s="0">
        <f>IF(P518="", "", VLOOKUP(P518, DanhSachCodeId, 3, FALSE))</f>
      </c>
    </row>
    <row r="519">
      <c r="A519" s="0">
        <f>IF(B519="", "", VLOOKUP(B519, DanhSachCodeId, 3, FALSE))</f>
      </c>
      <c r="C519" s="0">
        <f>IF(B519="", "", VLOOKUP(B519, DanhSachNhanVien, 2, FALSE))</f>
      </c>
      <c r="Q519" s="0">
        <f>IF(P519="", "", VLOOKUP(P519, DanhSachNhanVien, 2, FALSE))</f>
      </c>
      <c r="Z519" s="0">
        <f>IF(D519="", "", VLOOKUP(D519, DanhSachLoaiQuyetDinhRange, 2, FALSE))</f>
      </c>
      <c r="AA519" s="0">
        <f>IF(I519="", "", VLOOKUP(I519, DanhSachPhongBanRange, 2, FALSE))</f>
      </c>
      <c r="AB519" s="0">
        <f>IF(J519="", "", VLOOKUP(J519, DanhSachChucDanhRange, 2, FALSE))</f>
      </c>
      <c r="AC519" s="0">
        <f>IF(L519="", "", VLOOKUP(L519, ThangLuongData, 2, FALSE))</f>
      </c>
      <c r="AD519" s="0">
        <f>IF(M519="", "", VLOOKUP(M519, NgachLuongData, 2, FALSE))</f>
      </c>
      <c r="AE519" s="0">
        <f>IF(N519="", "", VLOOKUP(N519, BacLuongData, 2, FALSE))</f>
      </c>
      <c r="AF519" s="0">
        <f>IF(P519="", "", VLOOKUP(P519, DanhSachCodeId, 3, FALSE))</f>
      </c>
    </row>
    <row r="520">
      <c r="A520" s="0">
        <f>IF(B520="", "", VLOOKUP(B520, DanhSachCodeId, 3, FALSE))</f>
      </c>
      <c r="C520" s="0">
        <f>IF(B520="", "", VLOOKUP(B520, DanhSachNhanVien, 2, FALSE))</f>
      </c>
      <c r="Q520" s="0">
        <f>IF(P520="", "", VLOOKUP(P520, DanhSachNhanVien, 2, FALSE))</f>
      </c>
      <c r="Z520" s="0">
        <f>IF(D520="", "", VLOOKUP(D520, DanhSachLoaiQuyetDinhRange, 2, FALSE))</f>
      </c>
      <c r="AA520" s="0">
        <f>IF(I520="", "", VLOOKUP(I520, DanhSachPhongBanRange, 2, FALSE))</f>
      </c>
      <c r="AB520" s="0">
        <f>IF(J520="", "", VLOOKUP(J520, DanhSachChucDanhRange, 2, FALSE))</f>
      </c>
      <c r="AC520" s="0">
        <f>IF(L520="", "", VLOOKUP(L520, ThangLuongData, 2, FALSE))</f>
      </c>
      <c r="AD520" s="0">
        <f>IF(M520="", "", VLOOKUP(M520, NgachLuongData, 2, FALSE))</f>
      </c>
      <c r="AE520" s="0">
        <f>IF(N520="", "", VLOOKUP(N520, BacLuongData, 2, FALSE))</f>
      </c>
      <c r="AF520" s="0">
        <f>IF(P520="", "", VLOOKUP(P520, DanhSachCodeId, 3, FALSE))</f>
      </c>
    </row>
    <row r="521">
      <c r="A521" s="0">
        <f>IF(B521="", "", VLOOKUP(B521, DanhSachCodeId, 3, FALSE))</f>
      </c>
      <c r="C521" s="0">
        <f>IF(B521="", "", VLOOKUP(B521, DanhSachNhanVien, 2, FALSE))</f>
      </c>
      <c r="Q521" s="0">
        <f>IF(P521="", "", VLOOKUP(P521, DanhSachNhanVien, 2, FALSE))</f>
      </c>
      <c r="Z521" s="0">
        <f>IF(D521="", "", VLOOKUP(D521, DanhSachLoaiQuyetDinhRange, 2, FALSE))</f>
      </c>
      <c r="AA521" s="0">
        <f>IF(I521="", "", VLOOKUP(I521, DanhSachPhongBanRange, 2, FALSE))</f>
      </c>
      <c r="AB521" s="0">
        <f>IF(J521="", "", VLOOKUP(J521, DanhSachChucDanhRange, 2, FALSE))</f>
      </c>
      <c r="AC521" s="0">
        <f>IF(L521="", "", VLOOKUP(L521, ThangLuongData, 2, FALSE))</f>
      </c>
      <c r="AD521" s="0">
        <f>IF(M521="", "", VLOOKUP(M521, NgachLuongData, 2, FALSE))</f>
      </c>
      <c r="AE521" s="0">
        <f>IF(N521="", "", VLOOKUP(N521, BacLuongData, 2, FALSE))</f>
      </c>
      <c r="AF521" s="0">
        <f>IF(P521="", "", VLOOKUP(P521, DanhSachCodeId, 3, FALSE))</f>
      </c>
    </row>
    <row r="522">
      <c r="A522" s="0">
        <f>IF(B522="", "", VLOOKUP(B522, DanhSachCodeId, 3, FALSE))</f>
      </c>
      <c r="C522" s="0">
        <f>IF(B522="", "", VLOOKUP(B522, DanhSachNhanVien, 2, FALSE))</f>
      </c>
      <c r="Q522" s="0">
        <f>IF(P522="", "", VLOOKUP(P522, DanhSachNhanVien, 2, FALSE))</f>
      </c>
      <c r="Z522" s="0">
        <f>IF(D522="", "", VLOOKUP(D522, DanhSachLoaiQuyetDinhRange, 2, FALSE))</f>
      </c>
      <c r="AA522" s="0">
        <f>IF(I522="", "", VLOOKUP(I522, DanhSachPhongBanRange, 2, FALSE))</f>
      </c>
      <c r="AB522" s="0">
        <f>IF(J522="", "", VLOOKUP(J522, DanhSachChucDanhRange, 2, FALSE))</f>
      </c>
      <c r="AC522" s="0">
        <f>IF(L522="", "", VLOOKUP(L522, ThangLuongData, 2, FALSE))</f>
      </c>
      <c r="AD522" s="0">
        <f>IF(M522="", "", VLOOKUP(M522, NgachLuongData, 2, FALSE))</f>
      </c>
      <c r="AE522" s="0">
        <f>IF(N522="", "", VLOOKUP(N522, BacLuongData, 2, FALSE))</f>
      </c>
      <c r="AF522" s="0">
        <f>IF(P522="", "", VLOOKUP(P522, DanhSachCodeId, 3, FALSE))</f>
      </c>
    </row>
    <row r="523">
      <c r="A523" s="0">
        <f>IF(B523="", "", VLOOKUP(B523, DanhSachCodeId, 3, FALSE))</f>
      </c>
      <c r="C523" s="0">
        <f>IF(B523="", "", VLOOKUP(B523, DanhSachNhanVien, 2, FALSE))</f>
      </c>
      <c r="Q523" s="0">
        <f>IF(P523="", "", VLOOKUP(P523, DanhSachNhanVien, 2, FALSE))</f>
      </c>
      <c r="Z523" s="0">
        <f>IF(D523="", "", VLOOKUP(D523, DanhSachLoaiQuyetDinhRange, 2, FALSE))</f>
      </c>
      <c r="AA523" s="0">
        <f>IF(I523="", "", VLOOKUP(I523, DanhSachPhongBanRange, 2, FALSE))</f>
      </c>
      <c r="AB523" s="0">
        <f>IF(J523="", "", VLOOKUP(J523, DanhSachChucDanhRange, 2, FALSE))</f>
      </c>
      <c r="AC523" s="0">
        <f>IF(L523="", "", VLOOKUP(L523, ThangLuongData, 2, FALSE))</f>
      </c>
      <c r="AD523" s="0">
        <f>IF(M523="", "", VLOOKUP(M523, NgachLuongData, 2, FALSE))</f>
      </c>
      <c r="AE523" s="0">
        <f>IF(N523="", "", VLOOKUP(N523, BacLuongData, 2, FALSE))</f>
      </c>
      <c r="AF523" s="0">
        <f>IF(P523="", "", VLOOKUP(P523, DanhSachCodeId, 3, FALSE))</f>
      </c>
    </row>
    <row r="524">
      <c r="A524" s="0">
        <f>IF(B524="", "", VLOOKUP(B524, DanhSachCodeId, 3, FALSE))</f>
      </c>
      <c r="C524" s="0">
        <f>IF(B524="", "", VLOOKUP(B524, DanhSachNhanVien, 2, FALSE))</f>
      </c>
      <c r="Q524" s="0">
        <f>IF(P524="", "", VLOOKUP(P524, DanhSachNhanVien, 2, FALSE))</f>
      </c>
      <c r="Z524" s="0">
        <f>IF(D524="", "", VLOOKUP(D524, DanhSachLoaiQuyetDinhRange, 2, FALSE))</f>
      </c>
      <c r="AA524" s="0">
        <f>IF(I524="", "", VLOOKUP(I524, DanhSachPhongBanRange, 2, FALSE))</f>
      </c>
      <c r="AB524" s="0">
        <f>IF(J524="", "", VLOOKUP(J524, DanhSachChucDanhRange, 2, FALSE))</f>
      </c>
      <c r="AC524" s="0">
        <f>IF(L524="", "", VLOOKUP(L524, ThangLuongData, 2, FALSE))</f>
      </c>
      <c r="AD524" s="0">
        <f>IF(M524="", "", VLOOKUP(M524, NgachLuongData, 2, FALSE))</f>
      </c>
      <c r="AE524" s="0">
        <f>IF(N524="", "", VLOOKUP(N524, BacLuongData, 2, FALSE))</f>
      </c>
      <c r="AF524" s="0">
        <f>IF(P524="", "", VLOOKUP(P524, DanhSachCodeId, 3, FALSE))</f>
      </c>
    </row>
    <row r="525">
      <c r="A525" s="0">
        <f>IF(B525="", "", VLOOKUP(B525, DanhSachCodeId, 3, FALSE))</f>
      </c>
      <c r="C525" s="0">
        <f>IF(B525="", "", VLOOKUP(B525, DanhSachNhanVien, 2, FALSE))</f>
      </c>
      <c r="Q525" s="0">
        <f>IF(P525="", "", VLOOKUP(P525, DanhSachNhanVien, 2, FALSE))</f>
      </c>
      <c r="Z525" s="0">
        <f>IF(D525="", "", VLOOKUP(D525, DanhSachLoaiQuyetDinhRange, 2, FALSE))</f>
      </c>
      <c r="AA525" s="0">
        <f>IF(I525="", "", VLOOKUP(I525, DanhSachPhongBanRange, 2, FALSE))</f>
      </c>
      <c r="AB525" s="0">
        <f>IF(J525="", "", VLOOKUP(J525, DanhSachChucDanhRange, 2, FALSE))</f>
      </c>
      <c r="AC525" s="0">
        <f>IF(L525="", "", VLOOKUP(L525, ThangLuongData, 2, FALSE))</f>
      </c>
      <c r="AD525" s="0">
        <f>IF(M525="", "", VLOOKUP(M525, NgachLuongData, 2, FALSE))</f>
      </c>
      <c r="AE525" s="0">
        <f>IF(N525="", "", VLOOKUP(N525, BacLuongData, 2, FALSE))</f>
      </c>
      <c r="AF525" s="0">
        <f>IF(P525="", "", VLOOKUP(P525, DanhSachCodeId, 3, FALSE))</f>
      </c>
    </row>
    <row r="526">
      <c r="A526" s="0">
        <f>IF(B526="", "", VLOOKUP(B526, DanhSachCodeId, 3, FALSE))</f>
      </c>
      <c r="C526" s="0">
        <f>IF(B526="", "", VLOOKUP(B526, DanhSachNhanVien, 2, FALSE))</f>
      </c>
      <c r="Q526" s="0">
        <f>IF(P526="", "", VLOOKUP(P526, DanhSachNhanVien, 2, FALSE))</f>
      </c>
      <c r="Z526" s="0">
        <f>IF(D526="", "", VLOOKUP(D526, DanhSachLoaiQuyetDinhRange, 2, FALSE))</f>
      </c>
      <c r="AA526" s="0">
        <f>IF(I526="", "", VLOOKUP(I526, DanhSachPhongBanRange, 2, FALSE))</f>
      </c>
      <c r="AB526" s="0">
        <f>IF(J526="", "", VLOOKUP(J526, DanhSachChucDanhRange, 2, FALSE))</f>
      </c>
      <c r="AC526" s="0">
        <f>IF(L526="", "", VLOOKUP(L526, ThangLuongData, 2, FALSE))</f>
      </c>
      <c r="AD526" s="0">
        <f>IF(M526="", "", VLOOKUP(M526, NgachLuongData, 2, FALSE))</f>
      </c>
      <c r="AE526" s="0">
        <f>IF(N526="", "", VLOOKUP(N526, BacLuongData, 2, FALSE))</f>
      </c>
      <c r="AF526" s="0">
        <f>IF(P526="", "", VLOOKUP(P526, DanhSachCodeId, 3, FALSE))</f>
      </c>
    </row>
    <row r="527">
      <c r="A527" s="0">
        <f>IF(B527="", "", VLOOKUP(B527, DanhSachCodeId, 3, FALSE))</f>
      </c>
      <c r="C527" s="0">
        <f>IF(B527="", "", VLOOKUP(B527, DanhSachNhanVien, 2, FALSE))</f>
      </c>
      <c r="Q527" s="0">
        <f>IF(P527="", "", VLOOKUP(P527, DanhSachNhanVien, 2, FALSE))</f>
      </c>
      <c r="Z527" s="0">
        <f>IF(D527="", "", VLOOKUP(D527, DanhSachLoaiQuyetDinhRange, 2, FALSE))</f>
      </c>
      <c r="AA527" s="0">
        <f>IF(I527="", "", VLOOKUP(I527, DanhSachPhongBanRange, 2, FALSE))</f>
      </c>
      <c r="AB527" s="0">
        <f>IF(J527="", "", VLOOKUP(J527, DanhSachChucDanhRange, 2, FALSE))</f>
      </c>
      <c r="AC527" s="0">
        <f>IF(L527="", "", VLOOKUP(L527, ThangLuongData, 2, FALSE))</f>
      </c>
      <c r="AD527" s="0">
        <f>IF(M527="", "", VLOOKUP(M527, NgachLuongData, 2, FALSE))</f>
      </c>
      <c r="AE527" s="0">
        <f>IF(N527="", "", VLOOKUP(N527, BacLuongData, 2, FALSE))</f>
      </c>
      <c r="AF527" s="0">
        <f>IF(P527="", "", VLOOKUP(P527, DanhSachCodeId, 3, FALSE))</f>
      </c>
    </row>
    <row r="528">
      <c r="A528" s="0">
        <f>IF(B528="", "", VLOOKUP(B528, DanhSachCodeId, 3, FALSE))</f>
      </c>
      <c r="C528" s="0">
        <f>IF(B528="", "", VLOOKUP(B528, DanhSachNhanVien, 2, FALSE))</f>
      </c>
      <c r="Q528" s="0">
        <f>IF(P528="", "", VLOOKUP(P528, DanhSachNhanVien, 2, FALSE))</f>
      </c>
      <c r="Z528" s="0">
        <f>IF(D528="", "", VLOOKUP(D528, DanhSachLoaiQuyetDinhRange, 2, FALSE))</f>
      </c>
      <c r="AA528" s="0">
        <f>IF(I528="", "", VLOOKUP(I528, DanhSachPhongBanRange, 2, FALSE))</f>
      </c>
      <c r="AB528" s="0">
        <f>IF(J528="", "", VLOOKUP(J528, DanhSachChucDanhRange, 2, FALSE))</f>
      </c>
      <c r="AC528" s="0">
        <f>IF(L528="", "", VLOOKUP(L528, ThangLuongData, 2, FALSE))</f>
      </c>
      <c r="AD528" s="0">
        <f>IF(M528="", "", VLOOKUP(M528, NgachLuongData, 2, FALSE))</f>
      </c>
      <c r="AE528" s="0">
        <f>IF(N528="", "", VLOOKUP(N528, BacLuongData, 2, FALSE))</f>
      </c>
      <c r="AF528" s="0">
        <f>IF(P528="", "", VLOOKUP(P528, DanhSachCodeId, 3, FALSE))</f>
      </c>
    </row>
    <row r="529">
      <c r="A529" s="0">
        <f>IF(B529="", "", VLOOKUP(B529, DanhSachCodeId, 3, FALSE))</f>
      </c>
      <c r="C529" s="0">
        <f>IF(B529="", "", VLOOKUP(B529, DanhSachNhanVien, 2, FALSE))</f>
      </c>
      <c r="Q529" s="0">
        <f>IF(P529="", "", VLOOKUP(P529, DanhSachNhanVien, 2, FALSE))</f>
      </c>
      <c r="Z529" s="0">
        <f>IF(D529="", "", VLOOKUP(D529, DanhSachLoaiQuyetDinhRange, 2, FALSE))</f>
      </c>
      <c r="AA529" s="0">
        <f>IF(I529="", "", VLOOKUP(I529, DanhSachPhongBanRange, 2, FALSE))</f>
      </c>
      <c r="AB529" s="0">
        <f>IF(J529="", "", VLOOKUP(J529, DanhSachChucDanhRange, 2, FALSE))</f>
      </c>
      <c r="AC529" s="0">
        <f>IF(L529="", "", VLOOKUP(L529, ThangLuongData, 2, FALSE))</f>
      </c>
      <c r="AD529" s="0">
        <f>IF(M529="", "", VLOOKUP(M529, NgachLuongData, 2, FALSE))</f>
      </c>
      <c r="AE529" s="0">
        <f>IF(N529="", "", VLOOKUP(N529, BacLuongData, 2, FALSE))</f>
      </c>
      <c r="AF529" s="0">
        <f>IF(P529="", "", VLOOKUP(P529, DanhSachCodeId, 3, FALSE))</f>
      </c>
    </row>
    <row r="530">
      <c r="A530" s="0">
        <f>IF(B530="", "", VLOOKUP(B530, DanhSachCodeId, 3, FALSE))</f>
      </c>
      <c r="C530" s="0">
        <f>IF(B530="", "", VLOOKUP(B530, DanhSachNhanVien, 2, FALSE))</f>
      </c>
      <c r="Q530" s="0">
        <f>IF(P530="", "", VLOOKUP(P530, DanhSachNhanVien, 2, FALSE))</f>
      </c>
      <c r="Z530" s="0">
        <f>IF(D530="", "", VLOOKUP(D530, DanhSachLoaiQuyetDinhRange, 2, FALSE))</f>
      </c>
      <c r="AA530" s="0">
        <f>IF(I530="", "", VLOOKUP(I530, DanhSachPhongBanRange, 2, FALSE))</f>
      </c>
      <c r="AB530" s="0">
        <f>IF(J530="", "", VLOOKUP(J530, DanhSachChucDanhRange, 2, FALSE))</f>
      </c>
      <c r="AC530" s="0">
        <f>IF(L530="", "", VLOOKUP(L530, ThangLuongData, 2, FALSE))</f>
      </c>
      <c r="AD530" s="0">
        <f>IF(M530="", "", VLOOKUP(M530, NgachLuongData, 2, FALSE))</f>
      </c>
      <c r="AE530" s="0">
        <f>IF(N530="", "", VLOOKUP(N530, BacLuongData, 2, FALSE))</f>
      </c>
      <c r="AF530" s="0">
        <f>IF(P530="", "", VLOOKUP(P530, DanhSachCodeId, 3, FALSE))</f>
      </c>
    </row>
    <row r="531">
      <c r="A531" s="0">
        <f>IF(B531="", "", VLOOKUP(B531, DanhSachCodeId, 3, FALSE))</f>
      </c>
      <c r="C531" s="0">
        <f>IF(B531="", "", VLOOKUP(B531, DanhSachNhanVien, 2, FALSE))</f>
      </c>
      <c r="Q531" s="0">
        <f>IF(P531="", "", VLOOKUP(P531, DanhSachNhanVien, 2, FALSE))</f>
      </c>
      <c r="Z531" s="0">
        <f>IF(D531="", "", VLOOKUP(D531, DanhSachLoaiQuyetDinhRange, 2, FALSE))</f>
      </c>
      <c r="AA531" s="0">
        <f>IF(I531="", "", VLOOKUP(I531, DanhSachPhongBanRange, 2, FALSE))</f>
      </c>
      <c r="AB531" s="0">
        <f>IF(J531="", "", VLOOKUP(J531, DanhSachChucDanhRange, 2, FALSE))</f>
      </c>
      <c r="AC531" s="0">
        <f>IF(L531="", "", VLOOKUP(L531, ThangLuongData, 2, FALSE))</f>
      </c>
      <c r="AD531" s="0">
        <f>IF(M531="", "", VLOOKUP(M531, NgachLuongData, 2, FALSE))</f>
      </c>
      <c r="AE531" s="0">
        <f>IF(N531="", "", VLOOKUP(N531, BacLuongData, 2, FALSE))</f>
      </c>
      <c r="AF531" s="0">
        <f>IF(P531="", "", VLOOKUP(P531, DanhSachCodeId, 3, FALSE))</f>
      </c>
    </row>
    <row r="532">
      <c r="A532" s="0">
        <f>IF(B532="", "", VLOOKUP(B532, DanhSachCodeId, 3, FALSE))</f>
      </c>
      <c r="C532" s="0">
        <f>IF(B532="", "", VLOOKUP(B532, DanhSachNhanVien, 2, FALSE))</f>
      </c>
      <c r="Q532" s="0">
        <f>IF(P532="", "", VLOOKUP(P532, DanhSachNhanVien, 2, FALSE))</f>
      </c>
      <c r="Z532" s="0">
        <f>IF(D532="", "", VLOOKUP(D532, DanhSachLoaiQuyetDinhRange, 2, FALSE))</f>
      </c>
      <c r="AA532" s="0">
        <f>IF(I532="", "", VLOOKUP(I532, DanhSachPhongBanRange, 2, FALSE))</f>
      </c>
      <c r="AB532" s="0">
        <f>IF(J532="", "", VLOOKUP(J532, DanhSachChucDanhRange, 2, FALSE))</f>
      </c>
      <c r="AC532" s="0">
        <f>IF(L532="", "", VLOOKUP(L532, ThangLuongData, 2, FALSE))</f>
      </c>
      <c r="AD532" s="0">
        <f>IF(M532="", "", VLOOKUP(M532, NgachLuongData, 2, FALSE))</f>
      </c>
      <c r="AE532" s="0">
        <f>IF(N532="", "", VLOOKUP(N532, BacLuongData, 2, FALSE))</f>
      </c>
      <c r="AF532" s="0">
        <f>IF(P532="", "", VLOOKUP(P532, DanhSachCodeId, 3, FALSE))</f>
      </c>
    </row>
    <row r="533">
      <c r="A533" s="0">
        <f>IF(B533="", "", VLOOKUP(B533, DanhSachCodeId, 3, FALSE))</f>
      </c>
      <c r="C533" s="0">
        <f>IF(B533="", "", VLOOKUP(B533, DanhSachNhanVien, 2, FALSE))</f>
      </c>
      <c r="Q533" s="0">
        <f>IF(P533="", "", VLOOKUP(P533, DanhSachNhanVien, 2, FALSE))</f>
      </c>
      <c r="Z533" s="0">
        <f>IF(D533="", "", VLOOKUP(D533, DanhSachLoaiQuyetDinhRange, 2, FALSE))</f>
      </c>
      <c r="AA533" s="0">
        <f>IF(I533="", "", VLOOKUP(I533, DanhSachPhongBanRange, 2, FALSE))</f>
      </c>
      <c r="AB533" s="0">
        <f>IF(J533="", "", VLOOKUP(J533, DanhSachChucDanhRange, 2, FALSE))</f>
      </c>
      <c r="AC533" s="0">
        <f>IF(L533="", "", VLOOKUP(L533, ThangLuongData, 2, FALSE))</f>
      </c>
      <c r="AD533" s="0">
        <f>IF(M533="", "", VLOOKUP(M533, NgachLuongData, 2, FALSE))</f>
      </c>
      <c r="AE533" s="0">
        <f>IF(N533="", "", VLOOKUP(N533, BacLuongData, 2, FALSE))</f>
      </c>
      <c r="AF533" s="0">
        <f>IF(P533="", "", VLOOKUP(P533, DanhSachCodeId, 3, FALSE))</f>
      </c>
    </row>
    <row r="534">
      <c r="A534" s="0">
        <f>IF(B534="", "", VLOOKUP(B534, DanhSachCodeId, 3, FALSE))</f>
      </c>
      <c r="C534" s="0">
        <f>IF(B534="", "", VLOOKUP(B534, DanhSachNhanVien, 2, FALSE))</f>
      </c>
      <c r="Q534" s="0">
        <f>IF(P534="", "", VLOOKUP(P534, DanhSachNhanVien, 2, FALSE))</f>
      </c>
      <c r="Z534" s="0">
        <f>IF(D534="", "", VLOOKUP(D534, DanhSachLoaiQuyetDinhRange, 2, FALSE))</f>
      </c>
      <c r="AA534" s="0">
        <f>IF(I534="", "", VLOOKUP(I534, DanhSachPhongBanRange, 2, FALSE))</f>
      </c>
      <c r="AB534" s="0">
        <f>IF(J534="", "", VLOOKUP(J534, DanhSachChucDanhRange, 2, FALSE))</f>
      </c>
      <c r="AC534" s="0">
        <f>IF(L534="", "", VLOOKUP(L534, ThangLuongData, 2, FALSE))</f>
      </c>
      <c r="AD534" s="0">
        <f>IF(M534="", "", VLOOKUP(M534, NgachLuongData, 2, FALSE))</f>
      </c>
      <c r="AE534" s="0">
        <f>IF(N534="", "", VLOOKUP(N534, BacLuongData, 2, FALSE))</f>
      </c>
      <c r="AF534" s="0">
        <f>IF(P534="", "", VLOOKUP(P534, DanhSachCodeId, 3, FALSE))</f>
      </c>
    </row>
    <row r="535">
      <c r="A535" s="0">
        <f>IF(B535="", "", VLOOKUP(B535, DanhSachCodeId, 3, FALSE))</f>
      </c>
      <c r="C535" s="0">
        <f>IF(B535="", "", VLOOKUP(B535, DanhSachNhanVien, 2, FALSE))</f>
      </c>
      <c r="Q535" s="0">
        <f>IF(P535="", "", VLOOKUP(P535, DanhSachNhanVien, 2, FALSE))</f>
      </c>
      <c r="Z535" s="0">
        <f>IF(D535="", "", VLOOKUP(D535, DanhSachLoaiQuyetDinhRange, 2, FALSE))</f>
      </c>
      <c r="AA535" s="0">
        <f>IF(I535="", "", VLOOKUP(I535, DanhSachPhongBanRange, 2, FALSE))</f>
      </c>
      <c r="AB535" s="0">
        <f>IF(J535="", "", VLOOKUP(J535, DanhSachChucDanhRange, 2, FALSE))</f>
      </c>
      <c r="AC535" s="0">
        <f>IF(L535="", "", VLOOKUP(L535, ThangLuongData, 2, FALSE))</f>
      </c>
      <c r="AD535" s="0">
        <f>IF(M535="", "", VLOOKUP(M535, NgachLuongData, 2, FALSE))</f>
      </c>
      <c r="AE535" s="0">
        <f>IF(N535="", "", VLOOKUP(N535, BacLuongData, 2, FALSE))</f>
      </c>
      <c r="AF535" s="0">
        <f>IF(P535="", "", VLOOKUP(P535, DanhSachCodeId, 3, FALSE))</f>
      </c>
    </row>
    <row r="536">
      <c r="A536" s="0">
        <f>IF(B536="", "", VLOOKUP(B536, DanhSachCodeId, 3, FALSE))</f>
      </c>
      <c r="C536" s="0">
        <f>IF(B536="", "", VLOOKUP(B536, DanhSachNhanVien, 2, FALSE))</f>
      </c>
      <c r="Q536" s="0">
        <f>IF(P536="", "", VLOOKUP(P536, DanhSachNhanVien, 2, FALSE))</f>
      </c>
      <c r="Z536" s="0">
        <f>IF(D536="", "", VLOOKUP(D536, DanhSachLoaiQuyetDinhRange, 2, FALSE))</f>
      </c>
      <c r="AA536" s="0">
        <f>IF(I536="", "", VLOOKUP(I536, DanhSachPhongBanRange, 2, FALSE))</f>
      </c>
      <c r="AB536" s="0">
        <f>IF(J536="", "", VLOOKUP(J536, DanhSachChucDanhRange, 2, FALSE))</f>
      </c>
      <c r="AC536" s="0">
        <f>IF(L536="", "", VLOOKUP(L536, ThangLuongData, 2, FALSE))</f>
      </c>
      <c r="AD536" s="0">
        <f>IF(M536="", "", VLOOKUP(M536, NgachLuongData, 2, FALSE))</f>
      </c>
      <c r="AE536" s="0">
        <f>IF(N536="", "", VLOOKUP(N536, BacLuongData, 2, FALSE))</f>
      </c>
      <c r="AF536" s="0">
        <f>IF(P536="", "", VLOOKUP(P536, DanhSachCodeId, 3, FALSE))</f>
      </c>
    </row>
    <row r="537">
      <c r="A537" s="0">
        <f>IF(B537="", "", VLOOKUP(B537, DanhSachCodeId, 3, FALSE))</f>
      </c>
      <c r="C537" s="0">
        <f>IF(B537="", "", VLOOKUP(B537, DanhSachNhanVien, 2, FALSE))</f>
      </c>
      <c r="Q537" s="0">
        <f>IF(P537="", "", VLOOKUP(P537, DanhSachNhanVien, 2, FALSE))</f>
      </c>
      <c r="Z537" s="0">
        <f>IF(D537="", "", VLOOKUP(D537, DanhSachLoaiQuyetDinhRange, 2, FALSE))</f>
      </c>
      <c r="AA537" s="0">
        <f>IF(I537="", "", VLOOKUP(I537, DanhSachPhongBanRange, 2, FALSE))</f>
      </c>
      <c r="AB537" s="0">
        <f>IF(J537="", "", VLOOKUP(J537, DanhSachChucDanhRange, 2, FALSE))</f>
      </c>
      <c r="AC537" s="0">
        <f>IF(L537="", "", VLOOKUP(L537, ThangLuongData, 2, FALSE))</f>
      </c>
      <c r="AD537" s="0">
        <f>IF(M537="", "", VLOOKUP(M537, NgachLuongData, 2, FALSE))</f>
      </c>
      <c r="AE537" s="0">
        <f>IF(N537="", "", VLOOKUP(N537, BacLuongData, 2, FALSE))</f>
      </c>
      <c r="AF537" s="0">
        <f>IF(P537="", "", VLOOKUP(P537, DanhSachCodeId, 3, FALSE))</f>
      </c>
    </row>
    <row r="538">
      <c r="A538" s="0">
        <f>IF(B538="", "", VLOOKUP(B538, DanhSachCodeId, 3, FALSE))</f>
      </c>
      <c r="C538" s="0">
        <f>IF(B538="", "", VLOOKUP(B538, DanhSachNhanVien, 2, FALSE))</f>
      </c>
      <c r="Q538" s="0">
        <f>IF(P538="", "", VLOOKUP(P538, DanhSachNhanVien, 2, FALSE))</f>
      </c>
      <c r="Z538" s="0">
        <f>IF(D538="", "", VLOOKUP(D538, DanhSachLoaiQuyetDinhRange, 2, FALSE))</f>
      </c>
      <c r="AA538" s="0">
        <f>IF(I538="", "", VLOOKUP(I538, DanhSachPhongBanRange, 2, FALSE))</f>
      </c>
      <c r="AB538" s="0">
        <f>IF(J538="", "", VLOOKUP(J538, DanhSachChucDanhRange, 2, FALSE))</f>
      </c>
      <c r="AC538" s="0">
        <f>IF(L538="", "", VLOOKUP(L538, ThangLuongData, 2, FALSE))</f>
      </c>
      <c r="AD538" s="0">
        <f>IF(M538="", "", VLOOKUP(M538, NgachLuongData, 2, FALSE))</f>
      </c>
      <c r="AE538" s="0">
        <f>IF(N538="", "", VLOOKUP(N538, BacLuongData, 2, FALSE))</f>
      </c>
      <c r="AF538" s="0">
        <f>IF(P538="", "", VLOOKUP(P538, DanhSachCodeId, 3, FALSE))</f>
      </c>
    </row>
    <row r="539">
      <c r="A539" s="0">
        <f>IF(B539="", "", VLOOKUP(B539, DanhSachCodeId, 3, FALSE))</f>
      </c>
      <c r="C539" s="0">
        <f>IF(B539="", "", VLOOKUP(B539, DanhSachNhanVien, 2, FALSE))</f>
      </c>
      <c r="Q539" s="0">
        <f>IF(P539="", "", VLOOKUP(P539, DanhSachNhanVien, 2, FALSE))</f>
      </c>
      <c r="Z539" s="0">
        <f>IF(D539="", "", VLOOKUP(D539, DanhSachLoaiQuyetDinhRange, 2, FALSE))</f>
      </c>
      <c r="AA539" s="0">
        <f>IF(I539="", "", VLOOKUP(I539, DanhSachPhongBanRange, 2, FALSE))</f>
      </c>
      <c r="AB539" s="0">
        <f>IF(J539="", "", VLOOKUP(J539, DanhSachChucDanhRange, 2, FALSE))</f>
      </c>
      <c r="AC539" s="0">
        <f>IF(L539="", "", VLOOKUP(L539, ThangLuongData, 2, FALSE))</f>
      </c>
      <c r="AD539" s="0">
        <f>IF(M539="", "", VLOOKUP(M539, NgachLuongData, 2, FALSE))</f>
      </c>
      <c r="AE539" s="0">
        <f>IF(N539="", "", VLOOKUP(N539, BacLuongData, 2, FALSE))</f>
      </c>
      <c r="AF539" s="0">
        <f>IF(P539="", "", VLOOKUP(P539, DanhSachCodeId, 3, FALSE))</f>
      </c>
    </row>
    <row r="540">
      <c r="A540" s="0">
        <f>IF(B540="", "", VLOOKUP(B540, DanhSachCodeId, 3, FALSE))</f>
      </c>
      <c r="C540" s="0">
        <f>IF(B540="", "", VLOOKUP(B540, DanhSachNhanVien, 2, FALSE))</f>
      </c>
      <c r="Q540" s="0">
        <f>IF(P540="", "", VLOOKUP(P540, DanhSachNhanVien, 2, FALSE))</f>
      </c>
      <c r="Z540" s="0">
        <f>IF(D540="", "", VLOOKUP(D540, DanhSachLoaiQuyetDinhRange, 2, FALSE))</f>
      </c>
      <c r="AA540" s="0">
        <f>IF(I540="", "", VLOOKUP(I540, DanhSachPhongBanRange, 2, FALSE))</f>
      </c>
      <c r="AB540" s="0">
        <f>IF(J540="", "", VLOOKUP(J540, DanhSachChucDanhRange, 2, FALSE))</f>
      </c>
      <c r="AC540" s="0">
        <f>IF(L540="", "", VLOOKUP(L540, ThangLuongData, 2, FALSE))</f>
      </c>
      <c r="AD540" s="0">
        <f>IF(M540="", "", VLOOKUP(M540, NgachLuongData, 2, FALSE))</f>
      </c>
      <c r="AE540" s="0">
        <f>IF(N540="", "", VLOOKUP(N540, BacLuongData, 2, FALSE))</f>
      </c>
      <c r="AF540" s="0">
        <f>IF(P540="", "", VLOOKUP(P540, DanhSachCodeId, 3, FALSE))</f>
      </c>
    </row>
    <row r="541">
      <c r="A541" s="0">
        <f>IF(B541="", "", VLOOKUP(B541, DanhSachCodeId, 3, FALSE))</f>
      </c>
      <c r="C541" s="0">
        <f>IF(B541="", "", VLOOKUP(B541, DanhSachNhanVien, 2, FALSE))</f>
      </c>
      <c r="Q541" s="0">
        <f>IF(P541="", "", VLOOKUP(P541, DanhSachNhanVien, 2, FALSE))</f>
      </c>
      <c r="Z541" s="0">
        <f>IF(D541="", "", VLOOKUP(D541, DanhSachLoaiQuyetDinhRange, 2, FALSE))</f>
      </c>
      <c r="AA541" s="0">
        <f>IF(I541="", "", VLOOKUP(I541, DanhSachPhongBanRange, 2, FALSE))</f>
      </c>
      <c r="AB541" s="0">
        <f>IF(J541="", "", VLOOKUP(J541, DanhSachChucDanhRange, 2, FALSE))</f>
      </c>
      <c r="AC541" s="0">
        <f>IF(L541="", "", VLOOKUP(L541, ThangLuongData, 2, FALSE))</f>
      </c>
      <c r="AD541" s="0">
        <f>IF(M541="", "", VLOOKUP(M541, NgachLuongData, 2, FALSE))</f>
      </c>
      <c r="AE541" s="0">
        <f>IF(N541="", "", VLOOKUP(N541, BacLuongData, 2, FALSE))</f>
      </c>
      <c r="AF541" s="0">
        <f>IF(P541="", "", VLOOKUP(P541, DanhSachCodeId, 3, FALSE))</f>
      </c>
    </row>
    <row r="542">
      <c r="A542" s="0">
        <f>IF(B542="", "", VLOOKUP(B542, DanhSachCodeId, 3, FALSE))</f>
      </c>
      <c r="C542" s="0">
        <f>IF(B542="", "", VLOOKUP(B542, DanhSachNhanVien, 2, FALSE))</f>
      </c>
      <c r="Q542" s="0">
        <f>IF(P542="", "", VLOOKUP(P542, DanhSachNhanVien, 2, FALSE))</f>
      </c>
      <c r="Z542" s="0">
        <f>IF(D542="", "", VLOOKUP(D542, DanhSachLoaiQuyetDinhRange, 2, FALSE))</f>
      </c>
      <c r="AA542" s="0">
        <f>IF(I542="", "", VLOOKUP(I542, DanhSachPhongBanRange, 2, FALSE))</f>
      </c>
      <c r="AB542" s="0">
        <f>IF(J542="", "", VLOOKUP(J542, DanhSachChucDanhRange, 2, FALSE))</f>
      </c>
      <c r="AC542" s="0">
        <f>IF(L542="", "", VLOOKUP(L542, ThangLuongData, 2, FALSE))</f>
      </c>
      <c r="AD542" s="0">
        <f>IF(M542="", "", VLOOKUP(M542, NgachLuongData, 2, FALSE))</f>
      </c>
      <c r="AE542" s="0">
        <f>IF(N542="", "", VLOOKUP(N542, BacLuongData, 2, FALSE))</f>
      </c>
      <c r="AF542" s="0">
        <f>IF(P542="", "", VLOOKUP(P542, DanhSachCodeId, 3, FALSE))</f>
      </c>
    </row>
    <row r="543">
      <c r="A543" s="0">
        <f>IF(B543="", "", VLOOKUP(B543, DanhSachCodeId, 3, FALSE))</f>
      </c>
      <c r="C543" s="0">
        <f>IF(B543="", "", VLOOKUP(B543, DanhSachNhanVien, 2, FALSE))</f>
      </c>
      <c r="Q543" s="0">
        <f>IF(P543="", "", VLOOKUP(P543, DanhSachNhanVien, 2, FALSE))</f>
      </c>
      <c r="Z543" s="0">
        <f>IF(D543="", "", VLOOKUP(D543, DanhSachLoaiQuyetDinhRange, 2, FALSE))</f>
      </c>
      <c r="AA543" s="0">
        <f>IF(I543="", "", VLOOKUP(I543, DanhSachPhongBanRange, 2, FALSE))</f>
      </c>
      <c r="AB543" s="0">
        <f>IF(J543="", "", VLOOKUP(J543, DanhSachChucDanhRange, 2, FALSE))</f>
      </c>
      <c r="AC543" s="0">
        <f>IF(L543="", "", VLOOKUP(L543, ThangLuongData, 2, FALSE))</f>
      </c>
      <c r="AD543" s="0">
        <f>IF(M543="", "", VLOOKUP(M543, NgachLuongData, 2, FALSE))</f>
      </c>
      <c r="AE543" s="0">
        <f>IF(N543="", "", VLOOKUP(N543, BacLuongData, 2, FALSE))</f>
      </c>
      <c r="AF543" s="0">
        <f>IF(P543="", "", VLOOKUP(P543, DanhSachCodeId, 3, FALSE))</f>
      </c>
    </row>
    <row r="544">
      <c r="A544" s="0">
        <f>IF(B544="", "", VLOOKUP(B544, DanhSachCodeId, 3, FALSE))</f>
      </c>
      <c r="C544" s="0">
        <f>IF(B544="", "", VLOOKUP(B544, DanhSachNhanVien, 2, FALSE))</f>
      </c>
      <c r="Q544" s="0">
        <f>IF(P544="", "", VLOOKUP(P544, DanhSachNhanVien, 2, FALSE))</f>
      </c>
      <c r="Z544" s="0">
        <f>IF(D544="", "", VLOOKUP(D544, DanhSachLoaiQuyetDinhRange, 2, FALSE))</f>
      </c>
      <c r="AA544" s="0">
        <f>IF(I544="", "", VLOOKUP(I544, DanhSachPhongBanRange, 2, FALSE))</f>
      </c>
      <c r="AB544" s="0">
        <f>IF(J544="", "", VLOOKUP(J544, DanhSachChucDanhRange, 2, FALSE))</f>
      </c>
      <c r="AC544" s="0">
        <f>IF(L544="", "", VLOOKUP(L544, ThangLuongData, 2, FALSE))</f>
      </c>
      <c r="AD544" s="0">
        <f>IF(M544="", "", VLOOKUP(M544, NgachLuongData, 2, FALSE))</f>
      </c>
      <c r="AE544" s="0">
        <f>IF(N544="", "", VLOOKUP(N544, BacLuongData, 2, FALSE))</f>
      </c>
      <c r="AF544" s="0">
        <f>IF(P544="", "", VLOOKUP(P544, DanhSachCodeId, 3, FALSE))</f>
      </c>
    </row>
    <row r="545">
      <c r="A545" s="0">
        <f>IF(B545="", "", VLOOKUP(B545, DanhSachCodeId, 3, FALSE))</f>
      </c>
      <c r="C545" s="0">
        <f>IF(B545="", "", VLOOKUP(B545, DanhSachNhanVien, 2, FALSE))</f>
      </c>
      <c r="Q545" s="0">
        <f>IF(P545="", "", VLOOKUP(P545, DanhSachNhanVien, 2, FALSE))</f>
      </c>
      <c r="Z545" s="0">
        <f>IF(D545="", "", VLOOKUP(D545, DanhSachLoaiQuyetDinhRange, 2, FALSE))</f>
      </c>
      <c r="AA545" s="0">
        <f>IF(I545="", "", VLOOKUP(I545, DanhSachPhongBanRange, 2, FALSE))</f>
      </c>
      <c r="AB545" s="0">
        <f>IF(J545="", "", VLOOKUP(J545, DanhSachChucDanhRange, 2, FALSE))</f>
      </c>
      <c r="AC545" s="0">
        <f>IF(L545="", "", VLOOKUP(L545, ThangLuongData, 2, FALSE))</f>
      </c>
      <c r="AD545" s="0">
        <f>IF(M545="", "", VLOOKUP(M545, NgachLuongData, 2, FALSE))</f>
      </c>
      <c r="AE545" s="0">
        <f>IF(N545="", "", VLOOKUP(N545, BacLuongData, 2, FALSE))</f>
      </c>
      <c r="AF545" s="0">
        <f>IF(P545="", "", VLOOKUP(P545, DanhSachCodeId, 3, FALSE))</f>
      </c>
    </row>
    <row r="546">
      <c r="A546" s="0">
        <f>IF(B546="", "", VLOOKUP(B546, DanhSachCodeId, 3, FALSE))</f>
      </c>
      <c r="C546" s="0">
        <f>IF(B546="", "", VLOOKUP(B546, DanhSachNhanVien, 2, FALSE))</f>
      </c>
      <c r="Q546" s="0">
        <f>IF(P546="", "", VLOOKUP(P546, DanhSachNhanVien, 2, FALSE))</f>
      </c>
      <c r="Z546" s="0">
        <f>IF(D546="", "", VLOOKUP(D546, DanhSachLoaiQuyetDinhRange, 2, FALSE))</f>
      </c>
      <c r="AA546" s="0">
        <f>IF(I546="", "", VLOOKUP(I546, DanhSachPhongBanRange, 2, FALSE))</f>
      </c>
      <c r="AB546" s="0">
        <f>IF(J546="", "", VLOOKUP(J546, DanhSachChucDanhRange, 2, FALSE))</f>
      </c>
      <c r="AC546" s="0">
        <f>IF(L546="", "", VLOOKUP(L546, ThangLuongData, 2, FALSE))</f>
      </c>
      <c r="AD546" s="0">
        <f>IF(M546="", "", VLOOKUP(M546, NgachLuongData, 2, FALSE))</f>
      </c>
      <c r="AE546" s="0">
        <f>IF(N546="", "", VLOOKUP(N546, BacLuongData, 2, FALSE))</f>
      </c>
      <c r="AF546" s="0">
        <f>IF(P546="", "", VLOOKUP(P546, DanhSachCodeId, 3, FALSE))</f>
      </c>
    </row>
    <row r="547">
      <c r="A547" s="0">
        <f>IF(B547="", "", VLOOKUP(B547, DanhSachCodeId, 3, FALSE))</f>
      </c>
      <c r="C547" s="0">
        <f>IF(B547="", "", VLOOKUP(B547, DanhSachNhanVien, 2, FALSE))</f>
      </c>
      <c r="Q547" s="0">
        <f>IF(P547="", "", VLOOKUP(P547, DanhSachNhanVien, 2, FALSE))</f>
      </c>
      <c r="Z547" s="0">
        <f>IF(D547="", "", VLOOKUP(D547, DanhSachLoaiQuyetDinhRange, 2, FALSE))</f>
      </c>
      <c r="AA547" s="0">
        <f>IF(I547="", "", VLOOKUP(I547, DanhSachPhongBanRange, 2, FALSE))</f>
      </c>
      <c r="AB547" s="0">
        <f>IF(J547="", "", VLOOKUP(J547, DanhSachChucDanhRange, 2, FALSE))</f>
      </c>
      <c r="AC547" s="0">
        <f>IF(L547="", "", VLOOKUP(L547, ThangLuongData, 2, FALSE))</f>
      </c>
      <c r="AD547" s="0">
        <f>IF(M547="", "", VLOOKUP(M547, NgachLuongData, 2, FALSE))</f>
      </c>
      <c r="AE547" s="0">
        <f>IF(N547="", "", VLOOKUP(N547, BacLuongData, 2, FALSE))</f>
      </c>
      <c r="AF547" s="0">
        <f>IF(P547="", "", VLOOKUP(P547, DanhSachCodeId, 3, FALSE))</f>
      </c>
    </row>
    <row r="548">
      <c r="A548" s="0">
        <f>IF(B548="", "", VLOOKUP(B548, DanhSachCodeId, 3, FALSE))</f>
      </c>
      <c r="C548" s="0">
        <f>IF(B548="", "", VLOOKUP(B548, DanhSachNhanVien, 2, FALSE))</f>
      </c>
      <c r="Q548" s="0">
        <f>IF(P548="", "", VLOOKUP(P548, DanhSachNhanVien, 2, FALSE))</f>
      </c>
      <c r="Z548" s="0">
        <f>IF(D548="", "", VLOOKUP(D548, DanhSachLoaiQuyetDinhRange, 2, FALSE))</f>
      </c>
      <c r="AA548" s="0">
        <f>IF(I548="", "", VLOOKUP(I548, DanhSachPhongBanRange, 2, FALSE))</f>
      </c>
      <c r="AB548" s="0">
        <f>IF(J548="", "", VLOOKUP(J548, DanhSachChucDanhRange, 2, FALSE))</f>
      </c>
      <c r="AC548" s="0">
        <f>IF(L548="", "", VLOOKUP(L548, ThangLuongData, 2, FALSE))</f>
      </c>
      <c r="AD548" s="0">
        <f>IF(M548="", "", VLOOKUP(M548, NgachLuongData, 2, FALSE))</f>
      </c>
      <c r="AE548" s="0">
        <f>IF(N548="", "", VLOOKUP(N548, BacLuongData, 2, FALSE))</f>
      </c>
      <c r="AF548" s="0">
        <f>IF(P548="", "", VLOOKUP(P548, DanhSachCodeId, 3, FALSE))</f>
      </c>
    </row>
    <row r="549">
      <c r="A549" s="0">
        <f>IF(B549="", "", VLOOKUP(B549, DanhSachCodeId, 3, FALSE))</f>
      </c>
      <c r="C549" s="0">
        <f>IF(B549="", "", VLOOKUP(B549, DanhSachNhanVien, 2, FALSE))</f>
      </c>
      <c r="Q549" s="0">
        <f>IF(P549="", "", VLOOKUP(P549, DanhSachNhanVien, 2, FALSE))</f>
      </c>
      <c r="Z549" s="0">
        <f>IF(D549="", "", VLOOKUP(D549, DanhSachLoaiQuyetDinhRange, 2, FALSE))</f>
      </c>
      <c r="AA549" s="0">
        <f>IF(I549="", "", VLOOKUP(I549, DanhSachPhongBanRange, 2, FALSE))</f>
      </c>
      <c r="AB549" s="0">
        <f>IF(J549="", "", VLOOKUP(J549, DanhSachChucDanhRange, 2, FALSE))</f>
      </c>
      <c r="AC549" s="0">
        <f>IF(L549="", "", VLOOKUP(L549, ThangLuongData, 2, FALSE))</f>
      </c>
      <c r="AD549" s="0">
        <f>IF(M549="", "", VLOOKUP(M549, NgachLuongData, 2, FALSE))</f>
      </c>
      <c r="AE549" s="0">
        <f>IF(N549="", "", VLOOKUP(N549, BacLuongData, 2, FALSE))</f>
      </c>
      <c r="AF549" s="0">
        <f>IF(P549="", "", VLOOKUP(P549, DanhSachCodeId, 3, FALSE))</f>
      </c>
    </row>
    <row r="550">
      <c r="A550" s="0">
        <f>IF(B550="", "", VLOOKUP(B550, DanhSachCodeId, 3, FALSE))</f>
      </c>
      <c r="C550" s="0">
        <f>IF(B550="", "", VLOOKUP(B550, DanhSachNhanVien, 2, FALSE))</f>
      </c>
      <c r="Q550" s="0">
        <f>IF(P550="", "", VLOOKUP(P550, DanhSachNhanVien, 2, FALSE))</f>
      </c>
      <c r="Z550" s="0">
        <f>IF(D550="", "", VLOOKUP(D550, DanhSachLoaiQuyetDinhRange, 2, FALSE))</f>
      </c>
      <c r="AA550" s="0">
        <f>IF(I550="", "", VLOOKUP(I550, DanhSachPhongBanRange, 2, FALSE))</f>
      </c>
      <c r="AB550" s="0">
        <f>IF(J550="", "", VLOOKUP(J550, DanhSachChucDanhRange, 2, FALSE))</f>
      </c>
      <c r="AC550" s="0">
        <f>IF(L550="", "", VLOOKUP(L550, ThangLuongData, 2, FALSE))</f>
      </c>
      <c r="AD550" s="0">
        <f>IF(M550="", "", VLOOKUP(M550, NgachLuongData, 2, FALSE))</f>
      </c>
      <c r="AE550" s="0">
        <f>IF(N550="", "", VLOOKUP(N550, BacLuongData, 2, FALSE))</f>
      </c>
      <c r="AF550" s="0">
        <f>IF(P550="", "", VLOOKUP(P550, DanhSachCodeId, 3, FALSE))</f>
      </c>
    </row>
    <row r="551">
      <c r="A551" s="0">
        <f>IF(B551="", "", VLOOKUP(B551, DanhSachCodeId, 3, FALSE))</f>
      </c>
      <c r="C551" s="0">
        <f>IF(B551="", "", VLOOKUP(B551, DanhSachNhanVien, 2, FALSE))</f>
      </c>
      <c r="Q551" s="0">
        <f>IF(P551="", "", VLOOKUP(P551, DanhSachNhanVien, 2, FALSE))</f>
      </c>
      <c r="Z551" s="0">
        <f>IF(D551="", "", VLOOKUP(D551, DanhSachLoaiQuyetDinhRange, 2, FALSE))</f>
      </c>
      <c r="AA551" s="0">
        <f>IF(I551="", "", VLOOKUP(I551, DanhSachPhongBanRange, 2, FALSE))</f>
      </c>
      <c r="AB551" s="0">
        <f>IF(J551="", "", VLOOKUP(J551, DanhSachChucDanhRange, 2, FALSE))</f>
      </c>
      <c r="AC551" s="0">
        <f>IF(L551="", "", VLOOKUP(L551, ThangLuongData, 2, FALSE))</f>
      </c>
      <c r="AD551" s="0">
        <f>IF(M551="", "", VLOOKUP(M551, NgachLuongData, 2, FALSE))</f>
      </c>
      <c r="AE551" s="0">
        <f>IF(N551="", "", VLOOKUP(N551, BacLuongData, 2, FALSE))</f>
      </c>
      <c r="AF551" s="0">
        <f>IF(P551="", "", VLOOKUP(P551, DanhSachCodeId, 3, FALSE))</f>
      </c>
    </row>
    <row r="552">
      <c r="A552" s="0">
        <f>IF(B552="", "", VLOOKUP(B552, DanhSachCodeId, 3, FALSE))</f>
      </c>
      <c r="C552" s="0">
        <f>IF(B552="", "", VLOOKUP(B552, DanhSachNhanVien, 2, FALSE))</f>
      </c>
      <c r="Q552" s="0">
        <f>IF(P552="", "", VLOOKUP(P552, DanhSachNhanVien, 2, FALSE))</f>
      </c>
      <c r="Z552" s="0">
        <f>IF(D552="", "", VLOOKUP(D552, DanhSachLoaiQuyetDinhRange, 2, FALSE))</f>
      </c>
      <c r="AA552" s="0">
        <f>IF(I552="", "", VLOOKUP(I552, DanhSachPhongBanRange, 2, FALSE))</f>
      </c>
      <c r="AB552" s="0">
        <f>IF(J552="", "", VLOOKUP(J552, DanhSachChucDanhRange, 2, FALSE))</f>
      </c>
      <c r="AC552" s="0">
        <f>IF(L552="", "", VLOOKUP(L552, ThangLuongData, 2, FALSE))</f>
      </c>
      <c r="AD552" s="0">
        <f>IF(M552="", "", VLOOKUP(M552, NgachLuongData, 2, FALSE))</f>
      </c>
      <c r="AE552" s="0">
        <f>IF(N552="", "", VLOOKUP(N552, BacLuongData, 2, FALSE))</f>
      </c>
      <c r="AF552" s="0">
        <f>IF(P552="", "", VLOOKUP(P552, DanhSachCodeId, 3, FALSE))</f>
      </c>
    </row>
    <row r="553">
      <c r="A553" s="0">
        <f>IF(B553="", "", VLOOKUP(B553, DanhSachCodeId, 3, FALSE))</f>
      </c>
      <c r="C553" s="0">
        <f>IF(B553="", "", VLOOKUP(B553, DanhSachNhanVien, 2, FALSE))</f>
      </c>
      <c r="Q553" s="0">
        <f>IF(P553="", "", VLOOKUP(P553, DanhSachNhanVien, 2, FALSE))</f>
      </c>
      <c r="Z553" s="0">
        <f>IF(D553="", "", VLOOKUP(D553, DanhSachLoaiQuyetDinhRange, 2, FALSE))</f>
      </c>
      <c r="AA553" s="0">
        <f>IF(I553="", "", VLOOKUP(I553, DanhSachPhongBanRange, 2, FALSE))</f>
      </c>
      <c r="AB553" s="0">
        <f>IF(J553="", "", VLOOKUP(J553, DanhSachChucDanhRange, 2, FALSE))</f>
      </c>
      <c r="AC553" s="0">
        <f>IF(L553="", "", VLOOKUP(L553, ThangLuongData, 2, FALSE))</f>
      </c>
      <c r="AD553" s="0">
        <f>IF(M553="", "", VLOOKUP(M553, NgachLuongData, 2, FALSE))</f>
      </c>
      <c r="AE553" s="0">
        <f>IF(N553="", "", VLOOKUP(N553, BacLuongData, 2, FALSE))</f>
      </c>
      <c r="AF553" s="0">
        <f>IF(P553="", "", VLOOKUP(P553, DanhSachCodeId, 3, FALSE))</f>
      </c>
    </row>
    <row r="554">
      <c r="A554" s="0">
        <f>IF(B554="", "", VLOOKUP(B554, DanhSachCodeId, 3, FALSE))</f>
      </c>
      <c r="C554" s="0">
        <f>IF(B554="", "", VLOOKUP(B554, DanhSachNhanVien, 2, FALSE))</f>
      </c>
      <c r="Q554" s="0">
        <f>IF(P554="", "", VLOOKUP(P554, DanhSachNhanVien, 2, FALSE))</f>
      </c>
      <c r="Z554" s="0">
        <f>IF(D554="", "", VLOOKUP(D554, DanhSachLoaiQuyetDinhRange, 2, FALSE))</f>
      </c>
      <c r="AA554" s="0">
        <f>IF(I554="", "", VLOOKUP(I554, DanhSachPhongBanRange, 2, FALSE))</f>
      </c>
      <c r="AB554" s="0">
        <f>IF(J554="", "", VLOOKUP(J554, DanhSachChucDanhRange, 2, FALSE))</f>
      </c>
      <c r="AC554" s="0">
        <f>IF(L554="", "", VLOOKUP(L554, ThangLuongData, 2, FALSE))</f>
      </c>
      <c r="AD554" s="0">
        <f>IF(M554="", "", VLOOKUP(M554, NgachLuongData, 2, FALSE))</f>
      </c>
      <c r="AE554" s="0">
        <f>IF(N554="", "", VLOOKUP(N554, BacLuongData, 2, FALSE))</f>
      </c>
      <c r="AF554" s="0">
        <f>IF(P554="", "", VLOOKUP(P554, DanhSachCodeId, 3, FALSE))</f>
      </c>
    </row>
    <row r="555">
      <c r="A555" s="0">
        <f>IF(B555="", "", VLOOKUP(B555, DanhSachCodeId, 3, FALSE))</f>
      </c>
      <c r="C555" s="0">
        <f>IF(B555="", "", VLOOKUP(B555, DanhSachNhanVien, 2, FALSE))</f>
      </c>
      <c r="Q555" s="0">
        <f>IF(P555="", "", VLOOKUP(P555, DanhSachNhanVien, 2, FALSE))</f>
      </c>
      <c r="Z555" s="0">
        <f>IF(D555="", "", VLOOKUP(D555, DanhSachLoaiQuyetDinhRange, 2, FALSE))</f>
      </c>
      <c r="AA555" s="0">
        <f>IF(I555="", "", VLOOKUP(I555, DanhSachPhongBanRange, 2, FALSE))</f>
      </c>
      <c r="AB555" s="0">
        <f>IF(J555="", "", VLOOKUP(J555, DanhSachChucDanhRange, 2, FALSE))</f>
      </c>
      <c r="AC555" s="0">
        <f>IF(L555="", "", VLOOKUP(L555, ThangLuongData, 2, FALSE))</f>
      </c>
      <c r="AD555" s="0">
        <f>IF(M555="", "", VLOOKUP(M555, NgachLuongData, 2, FALSE))</f>
      </c>
      <c r="AE555" s="0">
        <f>IF(N555="", "", VLOOKUP(N555, BacLuongData, 2, FALSE))</f>
      </c>
      <c r="AF555" s="0">
        <f>IF(P555="", "", VLOOKUP(P555, DanhSachCodeId, 3, FALSE))</f>
      </c>
    </row>
    <row r="556">
      <c r="A556" s="0">
        <f>IF(B556="", "", VLOOKUP(B556, DanhSachCodeId, 3, FALSE))</f>
      </c>
      <c r="C556" s="0">
        <f>IF(B556="", "", VLOOKUP(B556, DanhSachNhanVien, 2, FALSE))</f>
      </c>
      <c r="Q556" s="0">
        <f>IF(P556="", "", VLOOKUP(P556, DanhSachNhanVien, 2, FALSE))</f>
      </c>
      <c r="Z556" s="0">
        <f>IF(D556="", "", VLOOKUP(D556, DanhSachLoaiQuyetDinhRange, 2, FALSE))</f>
      </c>
      <c r="AA556" s="0">
        <f>IF(I556="", "", VLOOKUP(I556, DanhSachPhongBanRange, 2, FALSE))</f>
      </c>
      <c r="AB556" s="0">
        <f>IF(J556="", "", VLOOKUP(J556, DanhSachChucDanhRange, 2, FALSE))</f>
      </c>
      <c r="AC556" s="0">
        <f>IF(L556="", "", VLOOKUP(L556, ThangLuongData, 2, FALSE))</f>
      </c>
      <c r="AD556" s="0">
        <f>IF(M556="", "", VLOOKUP(M556, NgachLuongData, 2, FALSE))</f>
      </c>
      <c r="AE556" s="0">
        <f>IF(N556="", "", VLOOKUP(N556, BacLuongData, 2, FALSE))</f>
      </c>
      <c r="AF556" s="0">
        <f>IF(P556="", "", VLOOKUP(P556, DanhSachCodeId, 3, FALSE))</f>
      </c>
    </row>
    <row r="557">
      <c r="A557" s="0">
        <f>IF(B557="", "", VLOOKUP(B557, DanhSachCodeId, 3, FALSE))</f>
      </c>
      <c r="C557" s="0">
        <f>IF(B557="", "", VLOOKUP(B557, DanhSachNhanVien, 2, FALSE))</f>
      </c>
      <c r="Q557" s="0">
        <f>IF(P557="", "", VLOOKUP(P557, DanhSachNhanVien, 2, FALSE))</f>
      </c>
      <c r="Z557" s="0">
        <f>IF(D557="", "", VLOOKUP(D557, DanhSachLoaiQuyetDinhRange, 2, FALSE))</f>
      </c>
      <c r="AA557" s="0">
        <f>IF(I557="", "", VLOOKUP(I557, DanhSachPhongBanRange, 2, FALSE))</f>
      </c>
      <c r="AB557" s="0">
        <f>IF(J557="", "", VLOOKUP(J557, DanhSachChucDanhRange, 2, FALSE))</f>
      </c>
      <c r="AC557" s="0">
        <f>IF(L557="", "", VLOOKUP(L557, ThangLuongData, 2, FALSE))</f>
      </c>
      <c r="AD557" s="0">
        <f>IF(M557="", "", VLOOKUP(M557, NgachLuongData, 2, FALSE))</f>
      </c>
      <c r="AE557" s="0">
        <f>IF(N557="", "", VLOOKUP(N557, BacLuongData, 2, FALSE))</f>
      </c>
      <c r="AF557" s="0">
        <f>IF(P557="", "", VLOOKUP(P557, DanhSachCodeId, 3, FALSE))</f>
      </c>
    </row>
    <row r="558">
      <c r="A558" s="0">
        <f>IF(B558="", "", VLOOKUP(B558, DanhSachCodeId, 3, FALSE))</f>
      </c>
      <c r="C558" s="0">
        <f>IF(B558="", "", VLOOKUP(B558, DanhSachNhanVien, 2, FALSE))</f>
      </c>
      <c r="Q558" s="0">
        <f>IF(P558="", "", VLOOKUP(P558, DanhSachNhanVien, 2, FALSE))</f>
      </c>
      <c r="Z558" s="0">
        <f>IF(D558="", "", VLOOKUP(D558, DanhSachLoaiQuyetDinhRange, 2, FALSE))</f>
      </c>
      <c r="AA558" s="0">
        <f>IF(I558="", "", VLOOKUP(I558, DanhSachPhongBanRange, 2, FALSE))</f>
      </c>
      <c r="AB558" s="0">
        <f>IF(J558="", "", VLOOKUP(J558, DanhSachChucDanhRange, 2, FALSE))</f>
      </c>
      <c r="AC558" s="0">
        <f>IF(L558="", "", VLOOKUP(L558, ThangLuongData, 2, FALSE))</f>
      </c>
      <c r="AD558" s="0">
        <f>IF(M558="", "", VLOOKUP(M558, NgachLuongData, 2, FALSE))</f>
      </c>
      <c r="AE558" s="0">
        <f>IF(N558="", "", VLOOKUP(N558, BacLuongData, 2, FALSE))</f>
      </c>
      <c r="AF558" s="0">
        <f>IF(P558="", "", VLOOKUP(P558, DanhSachCodeId, 3, FALSE))</f>
      </c>
    </row>
    <row r="559">
      <c r="A559" s="0">
        <f>IF(B559="", "", VLOOKUP(B559, DanhSachCodeId, 3, FALSE))</f>
      </c>
      <c r="C559" s="0">
        <f>IF(B559="", "", VLOOKUP(B559, DanhSachNhanVien, 2, FALSE))</f>
      </c>
      <c r="Q559" s="0">
        <f>IF(P559="", "", VLOOKUP(P559, DanhSachNhanVien, 2, FALSE))</f>
      </c>
      <c r="Z559" s="0">
        <f>IF(D559="", "", VLOOKUP(D559, DanhSachLoaiQuyetDinhRange, 2, FALSE))</f>
      </c>
      <c r="AA559" s="0">
        <f>IF(I559="", "", VLOOKUP(I559, DanhSachPhongBanRange, 2, FALSE))</f>
      </c>
      <c r="AB559" s="0">
        <f>IF(J559="", "", VLOOKUP(J559, DanhSachChucDanhRange, 2, FALSE))</f>
      </c>
      <c r="AC559" s="0">
        <f>IF(L559="", "", VLOOKUP(L559, ThangLuongData, 2, FALSE))</f>
      </c>
      <c r="AD559" s="0">
        <f>IF(M559="", "", VLOOKUP(M559, NgachLuongData, 2, FALSE))</f>
      </c>
      <c r="AE559" s="0">
        <f>IF(N559="", "", VLOOKUP(N559, BacLuongData, 2, FALSE))</f>
      </c>
      <c r="AF559" s="0">
        <f>IF(P559="", "", VLOOKUP(P559, DanhSachCodeId, 3, FALSE))</f>
      </c>
    </row>
    <row r="560">
      <c r="A560" s="0">
        <f>IF(B560="", "", VLOOKUP(B560, DanhSachCodeId, 3, FALSE))</f>
      </c>
      <c r="C560" s="0">
        <f>IF(B560="", "", VLOOKUP(B560, DanhSachNhanVien, 2, FALSE))</f>
      </c>
      <c r="Q560" s="0">
        <f>IF(P560="", "", VLOOKUP(P560, DanhSachNhanVien, 2, FALSE))</f>
      </c>
      <c r="Z560" s="0">
        <f>IF(D560="", "", VLOOKUP(D560, DanhSachLoaiQuyetDinhRange, 2, FALSE))</f>
      </c>
      <c r="AA560" s="0">
        <f>IF(I560="", "", VLOOKUP(I560, DanhSachPhongBanRange, 2, FALSE))</f>
      </c>
      <c r="AB560" s="0">
        <f>IF(J560="", "", VLOOKUP(J560, DanhSachChucDanhRange, 2, FALSE))</f>
      </c>
      <c r="AC560" s="0">
        <f>IF(L560="", "", VLOOKUP(L560, ThangLuongData, 2, FALSE))</f>
      </c>
      <c r="AD560" s="0">
        <f>IF(M560="", "", VLOOKUP(M560, NgachLuongData, 2, FALSE))</f>
      </c>
      <c r="AE560" s="0">
        <f>IF(N560="", "", VLOOKUP(N560, BacLuongData, 2, FALSE))</f>
      </c>
      <c r="AF560" s="0">
        <f>IF(P560="", "", VLOOKUP(P560, DanhSachCodeId, 3, FALSE))</f>
      </c>
    </row>
    <row r="561">
      <c r="A561" s="0">
        <f>IF(B561="", "", VLOOKUP(B561, DanhSachCodeId, 3, FALSE))</f>
      </c>
      <c r="C561" s="0">
        <f>IF(B561="", "", VLOOKUP(B561, DanhSachNhanVien, 2, FALSE))</f>
      </c>
      <c r="Q561" s="0">
        <f>IF(P561="", "", VLOOKUP(P561, DanhSachNhanVien, 2, FALSE))</f>
      </c>
      <c r="Z561" s="0">
        <f>IF(D561="", "", VLOOKUP(D561, DanhSachLoaiQuyetDinhRange, 2, FALSE))</f>
      </c>
      <c r="AA561" s="0">
        <f>IF(I561="", "", VLOOKUP(I561, DanhSachPhongBanRange, 2, FALSE))</f>
      </c>
      <c r="AB561" s="0">
        <f>IF(J561="", "", VLOOKUP(J561, DanhSachChucDanhRange, 2, FALSE))</f>
      </c>
      <c r="AC561" s="0">
        <f>IF(L561="", "", VLOOKUP(L561, ThangLuongData, 2, FALSE))</f>
      </c>
      <c r="AD561" s="0">
        <f>IF(M561="", "", VLOOKUP(M561, NgachLuongData, 2, FALSE))</f>
      </c>
      <c r="AE561" s="0">
        <f>IF(N561="", "", VLOOKUP(N561, BacLuongData, 2, FALSE))</f>
      </c>
      <c r="AF561" s="0">
        <f>IF(P561="", "", VLOOKUP(P561, DanhSachCodeId, 3, FALSE))</f>
      </c>
    </row>
    <row r="562">
      <c r="A562" s="0">
        <f>IF(B562="", "", VLOOKUP(B562, DanhSachCodeId, 3, FALSE))</f>
      </c>
      <c r="C562" s="0">
        <f>IF(B562="", "", VLOOKUP(B562, DanhSachNhanVien, 2, FALSE))</f>
      </c>
      <c r="Q562" s="0">
        <f>IF(P562="", "", VLOOKUP(P562, DanhSachNhanVien, 2, FALSE))</f>
      </c>
      <c r="Z562" s="0">
        <f>IF(D562="", "", VLOOKUP(D562, DanhSachLoaiQuyetDinhRange, 2, FALSE))</f>
      </c>
      <c r="AA562" s="0">
        <f>IF(I562="", "", VLOOKUP(I562, DanhSachPhongBanRange, 2, FALSE))</f>
      </c>
      <c r="AB562" s="0">
        <f>IF(J562="", "", VLOOKUP(J562, DanhSachChucDanhRange, 2, FALSE))</f>
      </c>
      <c r="AC562" s="0">
        <f>IF(L562="", "", VLOOKUP(L562, ThangLuongData, 2, FALSE))</f>
      </c>
      <c r="AD562" s="0">
        <f>IF(M562="", "", VLOOKUP(M562, NgachLuongData, 2, FALSE))</f>
      </c>
      <c r="AE562" s="0">
        <f>IF(N562="", "", VLOOKUP(N562, BacLuongData, 2, FALSE))</f>
      </c>
      <c r="AF562" s="0">
        <f>IF(P562="", "", VLOOKUP(P562, DanhSachCodeId, 3, FALSE))</f>
      </c>
    </row>
    <row r="563">
      <c r="A563" s="0">
        <f>IF(B563="", "", VLOOKUP(B563, DanhSachCodeId, 3, FALSE))</f>
      </c>
      <c r="C563" s="0">
        <f>IF(B563="", "", VLOOKUP(B563, DanhSachNhanVien, 2, FALSE))</f>
      </c>
      <c r="Q563" s="0">
        <f>IF(P563="", "", VLOOKUP(P563, DanhSachNhanVien, 2, FALSE))</f>
      </c>
      <c r="Z563" s="0">
        <f>IF(D563="", "", VLOOKUP(D563, DanhSachLoaiQuyetDinhRange, 2, FALSE))</f>
      </c>
      <c r="AA563" s="0">
        <f>IF(I563="", "", VLOOKUP(I563, DanhSachPhongBanRange, 2, FALSE))</f>
      </c>
      <c r="AB563" s="0">
        <f>IF(J563="", "", VLOOKUP(J563, DanhSachChucDanhRange, 2, FALSE))</f>
      </c>
      <c r="AC563" s="0">
        <f>IF(L563="", "", VLOOKUP(L563, ThangLuongData, 2, FALSE))</f>
      </c>
      <c r="AD563" s="0">
        <f>IF(M563="", "", VLOOKUP(M563, NgachLuongData, 2, FALSE))</f>
      </c>
      <c r="AE563" s="0">
        <f>IF(N563="", "", VLOOKUP(N563, BacLuongData, 2, FALSE))</f>
      </c>
      <c r="AF563" s="0">
        <f>IF(P563="", "", VLOOKUP(P563, DanhSachCodeId, 3, FALSE))</f>
      </c>
    </row>
    <row r="564">
      <c r="A564" s="0">
        <f>IF(B564="", "", VLOOKUP(B564, DanhSachCodeId, 3, FALSE))</f>
      </c>
      <c r="C564" s="0">
        <f>IF(B564="", "", VLOOKUP(B564, DanhSachNhanVien, 2, FALSE))</f>
      </c>
      <c r="Q564" s="0">
        <f>IF(P564="", "", VLOOKUP(P564, DanhSachNhanVien, 2, FALSE))</f>
      </c>
      <c r="Z564" s="0">
        <f>IF(D564="", "", VLOOKUP(D564, DanhSachLoaiQuyetDinhRange, 2, FALSE))</f>
      </c>
      <c r="AA564" s="0">
        <f>IF(I564="", "", VLOOKUP(I564, DanhSachPhongBanRange, 2, FALSE))</f>
      </c>
      <c r="AB564" s="0">
        <f>IF(J564="", "", VLOOKUP(J564, DanhSachChucDanhRange, 2, FALSE))</f>
      </c>
      <c r="AC564" s="0">
        <f>IF(L564="", "", VLOOKUP(L564, ThangLuongData, 2, FALSE))</f>
      </c>
      <c r="AD564" s="0">
        <f>IF(M564="", "", VLOOKUP(M564, NgachLuongData, 2, FALSE))</f>
      </c>
      <c r="AE564" s="0">
        <f>IF(N564="", "", VLOOKUP(N564, BacLuongData, 2, FALSE))</f>
      </c>
      <c r="AF564" s="0">
        <f>IF(P564="", "", VLOOKUP(P564, DanhSachCodeId, 3, FALSE))</f>
      </c>
    </row>
    <row r="565">
      <c r="A565" s="0">
        <f>IF(B565="", "", VLOOKUP(B565, DanhSachCodeId, 3, FALSE))</f>
      </c>
      <c r="C565" s="0">
        <f>IF(B565="", "", VLOOKUP(B565, DanhSachNhanVien, 2, FALSE))</f>
      </c>
      <c r="Q565" s="0">
        <f>IF(P565="", "", VLOOKUP(P565, DanhSachNhanVien, 2, FALSE))</f>
      </c>
      <c r="Z565" s="0">
        <f>IF(D565="", "", VLOOKUP(D565, DanhSachLoaiQuyetDinhRange, 2, FALSE))</f>
      </c>
      <c r="AA565" s="0">
        <f>IF(I565="", "", VLOOKUP(I565, DanhSachPhongBanRange, 2, FALSE))</f>
      </c>
      <c r="AB565" s="0">
        <f>IF(J565="", "", VLOOKUP(J565, DanhSachChucDanhRange, 2, FALSE))</f>
      </c>
      <c r="AC565" s="0">
        <f>IF(L565="", "", VLOOKUP(L565, ThangLuongData, 2, FALSE))</f>
      </c>
      <c r="AD565" s="0">
        <f>IF(M565="", "", VLOOKUP(M565, NgachLuongData, 2, FALSE))</f>
      </c>
      <c r="AE565" s="0">
        <f>IF(N565="", "", VLOOKUP(N565, BacLuongData, 2, FALSE))</f>
      </c>
      <c r="AF565" s="0">
        <f>IF(P565="", "", VLOOKUP(P565, DanhSachCodeId, 3, FALSE))</f>
      </c>
    </row>
    <row r="566">
      <c r="A566" s="0">
        <f>IF(B566="", "", VLOOKUP(B566, DanhSachCodeId, 3, FALSE))</f>
      </c>
      <c r="C566" s="0">
        <f>IF(B566="", "", VLOOKUP(B566, DanhSachNhanVien, 2, FALSE))</f>
      </c>
      <c r="Q566" s="0">
        <f>IF(P566="", "", VLOOKUP(P566, DanhSachNhanVien, 2, FALSE))</f>
      </c>
      <c r="Z566" s="0">
        <f>IF(D566="", "", VLOOKUP(D566, DanhSachLoaiQuyetDinhRange, 2, FALSE))</f>
      </c>
      <c r="AA566" s="0">
        <f>IF(I566="", "", VLOOKUP(I566, DanhSachPhongBanRange, 2, FALSE))</f>
      </c>
      <c r="AB566" s="0">
        <f>IF(J566="", "", VLOOKUP(J566, DanhSachChucDanhRange, 2, FALSE))</f>
      </c>
      <c r="AC566" s="0">
        <f>IF(L566="", "", VLOOKUP(L566, ThangLuongData, 2, FALSE))</f>
      </c>
      <c r="AD566" s="0">
        <f>IF(M566="", "", VLOOKUP(M566, NgachLuongData, 2, FALSE))</f>
      </c>
      <c r="AE566" s="0">
        <f>IF(N566="", "", VLOOKUP(N566, BacLuongData, 2, FALSE))</f>
      </c>
      <c r="AF566" s="0">
        <f>IF(P566="", "", VLOOKUP(P566, DanhSachCodeId, 3, FALSE))</f>
      </c>
    </row>
    <row r="567">
      <c r="A567" s="0">
        <f>IF(B567="", "", VLOOKUP(B567, DanhSachCodeId, 3, FALSE))</f>
      </c>
      <c r="C567" s="0">
        <f>IF(B567="", "", VLOOKUP(B567, DanhSachNhanVien, 2, FALSE))</f>
      </c>
      <c r="Q567" s="0">
        <f>IF(P567="", "", VLOOKUP(P567, DanhSachNhanVien, 2, FALSE))</f>
      </c>
      <c r="Z567" s="0">
        <f>IF(D567="", "", VLOOKUP(D567, DanhSachLoaiQuyetDinhRange, 2, FALSE))</f>
      </c>
      <c r="AA567" s="0">
        <f>IF(I567="", "", VLOOKUP(I567, DanhSachPhongBanRange, 2, FALSE))</f>
      </c>
      <c r="AB567" s="0">
        <f>IF(J567="", "", VLOOKUP(J567, DanhSachChucDanhRange, 2, FALSE))</f>
      </c>
      <c r="AC567" s="0">
        <f>IF(L567="", "", VLOOKUP(L567, ThangLuongData, 2, FALSE))</f>
      </c>
      <c r="AD567" s="0">
        <f>IF(M567="", "", VLOOKUP(M567, NgachLuongData, 2, FALSE))</f>
      </c>
      <c r="AE567" s="0">
        <f>IF(N567="", "", VLOOKUP(N567, BacLuongData, 2, FALSE))</f>
      </c>
      <c r="AF567" s="0">
        <f>IF(P567="", "", VLOOKUP(P567, DanhSachCodeId, 3, FALSE))</f>
      </c>
    </row>
    <row r="568">
      <c r="A568" s="0">
        <f>IF(B568="", "", VLOOKUP(B568, DanhSachCodeId, 3, FALSE))</f>
      </c>
      <c r="C568" s="0">
        <f>IF(B568="", "", VLOOKUP(B568, DanhSachNhanVien, 2, FALSE))</f>
      </c>
      <c r="Q568" s="0">
        <f>IF(P568="", "", VLOOKUP(P568, DanhSachNhanVien, 2, FALSE))</f>
      </c>
      <c r="Z568" s="0">
        <f>IF(D568="", "", VLOOKUP(D568, DanhSachLoaiQuyetDinhRange, 2, FALSE))</f>
      </c>
      <c r="AA568" s="0">
        <f>IF(I568="", "", VLOOKUP(I568, DanhSachPhongBanRange, 2, FALSE))</f>
      </c>
      <c r="AB568" s="0">
        <f>IF(J568="", "", VLOOKUP(J568, DanhSachChucDanhRange, 2, FALSE))</f>
      </c>
      <c r="AC568" s="0">
        <f>IF(L568="", "", VLOOKUP(L568, ThangLuongData, 2, FALSE))</f>
      </c>
      <c r="AD568" s="0">
        <f>IF(M568="", "", VLOOKUP(M568, NgachLuongData, 2, FALSE))</f>
      </c>
      <c r="AE568" s="0">
        <f>IF(N568="", "", VLOOKUP(N568, BacLuongData, 2, FALSE))</f>
      </c>
      <c r="AF568" s="0">
        <f>IF(P568="", "", VLOOKUP(P568, DanhSachCodeId, 3, FALSE))</f>
      </c>
    </row>
    <row r="569">
      <c r="A569" s="0">
        <f>IF(B569="", "", VLOOKUP(B569, DanhSachCodeId, 3, FALSE))</f>
      </c>
      <c r="C569" s="0">
        <f>IF(B569="", "", VLOOKUP(B569, DanhSachNhanVien, 2, FALSE))</f>
      </c>
      <c r="Q569" s="0">
        <f>IF(P569="", "", VLOOKUP(P569, DanhSachNhanVien, 2, FALSE))</f>
      </c>
      <c r="Z569" s="0">
        <f>IF(D569="", "", VLOOKUP(D569, DanhSachLoaiQuyetDinhRange, 2, FALSE))</f>
      </c>
      <c r="AA569" s="0">
        <f>IF(I569="", "", VLOOKUP(I569, DanhSachPhongBanRange, 2, FALSE))</f>
      </c>
      <c r="AB569" s="0">
        <f>IF(J569="", "", VLOOKUP(J569, DanhSachChucDanhRange, 2, FALSE))</f>
      </c>
      <c r="AC569" s="0">
        <f>IF(L569="", "", VLOOKUP(L569, ThangLuongData, 2, FALSE))</f>
      </c>
      <c r="AD569" s="0">
        <f>IF(M569="", "", VLOOKUP(M569, NgachLuongData, 2, FALSE))</f>
      </c>
      <c r="AE569" s="0">
        <f>IF(N569="", "", VLOOKUP(N569, BacLuongData, 2, FALSE))</f>
      </c>
      <c r="AF569" s="0">
        <f>IF(P569="", "", VLOOKUP(P569, DanhSachCodeId, 3, FALSE))</f>
      </c>
    </row>
    <row r="570">
      <c r="A570" s="0">
        <f>IF(B570="", "", VLOOKUP(B570, DanhSachCodeId, 3, FALSE))</f>
      </c>
      <c r="C570" s="0">
        <f>IF(B570="", "", VLOOKUP(B570, DanhSachNhanVien, 2, FALSE))</f>
      </c>
      <c r="Q570" s="0">
        <f>IF(P570="", "", VLOOKUP(P570, DanhSachNhanVien, 2, FALSE))</f>
      </c>
      <c r="Z570" s="0">
        <f>IF(D570="", "", VLOOKUP(D570, DanhSachLoaiQuyetDinhRange, 2, FALSE))</f>
      </c>
      <c r="AA570" s="0">
        <f>IF(I570="", "", VLOOKUP(I570, DanhSachPhongBanRange, 2, FALSE))</f>
      </c>
      <c r="AB570" s="0">
        <f>IF(J570="", "", VLOOKUP(J570, DanhSachChucDanhRange, 2, FALSE))</f>
      </c>
      <c r="AC570" s="0">
        <f>IF(L570="", "", VLOOKUP(L570, ThangLuongData, 2, FALSE))</f>
      </c>
      <c r="AD570" s="0">
        <f>IF(M570="", "", VLOOKUP(M570, NgachLuongData, 2, FALSE))</f>
      </c>
      <c r="AE570" s="0">
        <f>IF(N570="", "", VLOOKUP(N570, BacLuongData, 2, FALSE))</f>
      </c>
      <c r="AF570" s="0">
        <f>IF(P570="", "", VLOOKUP(P570, DanhSachCodeId, 3, FALSE))</f>
      </c>
    </row>
    <row r="571">
      <c r="A571" s="0">
        <f>IF(B571="", "", VLOOKUP(B571, DanhSachCodeId, 3, FALSE))</f>
      </c>
      <c r="C571" s="0">
        <f>IF(B571="", "", VLOOKUP(B571, DanhSachNhanVien, 2, FALSE))</f>
      </c>
      <c r="Q571" s="0">
        <f>IF(P571="", "", VLOOKUP(P571, DanhSachNhanVien, 2, FALSE))</f>
      </c>
      <c r="Z571" s="0">
        <f>IF(D571="", "", VLOOKUP(D571, DanhSachLoaiQuyetDinhRange, 2, FALSE))</f>
      </c>
      <c r="AA571" s="0">
        <f>IF(I571="", "", VLOOKUP(I571, DanhSachPhongBanRange, 2, FALSE))</f>
      </c>
      <c r="AB571" s="0">
        <f>IF(J571="", "", VLOOKUP(J571, DanhSachChucDanhRange, 2, FALSE))</f>
      </c>
      <c r="AC571" s="0">
        <f>IF(L571="", "", VLOOKUP(L571, ThangLuongData, 2, FALSE))</f>
      </c>
      <c r="AD571" s="0">
        <f>IF(M571="", "", VLOOKUP(M571, NgachLuongData, 2, FALSE))</f>
      </c>
      <c r="AE571" s="0">
        <f>IF(N571="", "", VLOOKUP(N571, BacLuongData, 2, FALSE))</f>
      </c>
      <c r="AF571" s="0">
        <f>IF(P571="", "", VLOOKUP(P571, DanhSachCodeId, 3, FALSE))</f>
      </c>
    </row>
    <row r="572">
      <c r="A572" s="0">
        <f>IF(B572="", "", VLOOKUP(B572, DanhSachCodeId, 3, FALSE))</f>
      </c>
      <c r="C572" s="0">
        <f>IF(B572="", "", VLOOKUP(B572, DanhSachNhanVien, 2, FALSE))</f>
      </c>
      <c r="Q572" s="0">
        <f>IF(P572="", "", VLOOKUP(P572, DanhSachNhanVien, 2, FALSE))</f>
      </c>
      <c r="Z572" s="0">
        <f>IF(D572="", "", VLOOKUP(D572, DanhSachLoaiQuyetDinhRange, 2, FALSE))</f>
      </c>
      <c r="AA572" s="0">
        <f>IF(I572="", "", VLOOKUP(I572, DanhSachPhongBanRange, 2, FALSE))</f>
      </c>
      <c r="AB572" s="0">
        <f>IF(J572="", "", VLOOKUP(J572, DanhSachChucDanhRange, 2, FALSE))</f>
      </c>
      <c r="AC572" s="0">
        <f>IF(L572="", "", VLOOKUP(L572, ThangLuongData, 2, FALSE))</f>
      </c>
      <c r="AD572" s="0">
        <f>IF(M572="", "", VLOOKUP(M572, NgachLuongData, 2, FALSE))</f>
      </c>
      <c r="AE572" s="0">
        <f>IF(N572="", "", VLOOKUP(N572, BacLuongData, 2, FALSE))</f>
      </c>
      <c r="AF572" s="0">
        <f>IF(P572="", "", VLOOKUP(P572, DanhSachCodeId, 3, FALSE))</f>
      </c>
    </row>
    <row r="573">
      <c r="A573" s="0">
        <f>IF(B573="", "", VLOOKUP(B573, DanhSachCodeId, 3, FALSE))</f>
      </c>
      <c r="C573" s="0">
        <f>IF(B573="", "", VLOOKUP(B573, DanhSachNhanVien, 2, FALSE))</f>
      </c>
      <c r="Q573" s="0">
        <f>IF(P573="", "", VLOOKUP(P573, DanhSachNhanVien, 2, FALSE))</f>
      </c>
      <c r="Z573" s="0">
        <f>IF(D573="", "", VLOOKUP(D573, DanhSachLoaiQuyetDinhRange, 2, FALSE))</f>
      </c>
      <c r="AA573" s="0">
        <f>IF(I573="", "", VLOOKUP(I573, DanhSachPhongBanRange, 2, FALSE))</f>
      </c>
      <c r="AB573" s="0">
        <f>IF(J573="", "", VLOOKUP(J573, DanhSachChucDanhRange, 2, FALSE))</f>
      </c>
      <c r="AC573" s="0">
        <f>IF(L573="", "", VLOOKUP(L573, ThangLuongData, 2, FALSE))</f>
      </c>
      <c r="AD573" s="0">
        <f>IF(M573="", "", VLOOKUP(M573, NgachLuongData, 2, FALSE))</f>
      </c>
      <c r="AE573" s="0">
        <f>IF(N573="", "", VLOOKUP(N573, BacLuongData, 2, FALSE))</f>
      </c>
      <c r="AF573" s="0">
        <f>IF(P573="", "", VLOOKUP(P573, DanhSachCodeId, 3, FALSE))</f>
      </c>
    </row>
    <row r="574">
      <c r="A574" s="0">
        <f>IF(B574="", "", VLOOKUP(B574, DanhSachCodeId, 3, FALSE))</f>
      </c>
      <c r="C574" s="0">
        <f>IF(B574="", "", VLOOKUP(B574, DanhSachNhanVien, 2, FALSE))</f>
      </c>
      <c r="Q574" s="0">
        <f>IF(P574="", "", VLOOKUP(P574, DanhSachNhanVien, 2, FALSE))</f>
      </c>
      <c r="Z574" s="0">
        <f>IF(D574="", "", VLOOKUP(D574, DanhSachLoaiQuyetDinhRange, 2, FALSE))</f>
      </c>
      <c r="AA574" s="0">
        <f>IF(I574="", "", VLOOKUP(I574, DanhSachPhongBanRange, 2, FALSE))</f>
      </c>
      <c r="AB574" s="0">
        <f>IF(J574="", "", VLOOKUP(J574, DanhSachChucDanhRange, 2, FALSE))</f>
      </c>
      <c r="AC574" s="0">
        <f>IF(L574="", "", VLOOKUP(L574, ThangLuongData, 2, FALSE))</f>
      </c>
      <c r="AD574" s="0">
        <f>IF(M574="", "", VLOOKUP(M574, NgachLuongData, 2, FALSE))</f>
      </c>
      <c r="AE574" s="0">
        <f>IF(N574="", "", VLOOKUP(N574, BacLuongData, 2, FALSE))</f>
      </c>
      <c r="AF574" s="0">
        <f>IF(P574="", "", VLOOKUP(P574, DanhSachCodeId, 3, FALSE))</f>
      </c>
    </row>
    <row r="575">
      <c r="A575" s="0">
        <f>IF(B575="", "", VLOOKUP(B575, DanhSachCodeId, 3, FALSE))</f>
      </c>
      <c r="C575" s="0">
        <f>IF(B575="", "", VLOOKUP(B575, DanhSachNhanVien, 2, FALSE))</f>
      </c>
      <c r="Q575" s="0">
        <f>IF(P575="", "", VLOOKUP(P575, DanhSachNhanVien, 2, FALSE))</f>
      </c>
      <c r="Z575" s="0">
        <f>IF(D575="", "", VLOOKUP(D575, DanhSachLoaiQuyetDinhRange, 2, FALSE))</f>
      </c>
      <c r="AA575" s="0">
        <f>IF(I575="", "", VLOOKUP(I575, DanhSachPhongBanRange, 2, FALSE))</f>
      </c>
      <c r="AB575" s="0">
        <f>IF(J575="", "", VLOOKUP(J575, DanhSachChucDanhRange, 2, FALSE))</f>
      </c>
      <c r="AC575" s="0">
        <f>IF(L575="", "", VLOOKUP(L575, ThangLuongData, 2, FALSE))</f>
      </c>
      <c r="AD575" s="0">
        <f>IF(M575="", "", VLOOKUP(M575, NgachLuongData, 2, FALSE))</f>
      </c>
      <c r="AE575" s="0">
        <f>IF(N575="", "", VLOOKUP(N575, BacLuongData, 2, FALSE))</f>
      </c>
      <c r="AF575" s="0">
        <f>IF(P575="", "", VLOOKUP(P575, DanhSachCodeId, 3, FALSE))</f>
      </c>
    </row>
    <row r="576">
      <c r="A576" s="0">
        <f>IF(B576="", "", VLOOKUP(B576, DanhSachCodeId, 3, FALSE))</f>
      </c>
      <c r="C576" s="0">
        <f>IF(B576="", "", VLOOKUP(B576, DanhSachNhanVien, 2, FALSE))</f>
      </c>
      <c r="Q576" s="0">
        <f>IF(P576="", "", VLOOKUP(P576, DanhSachNhanVien, 2, FALSE))</f>
      </c>
      <c r="Z576" s="0">
        <f>IF(D576="", "", VLOOKUP(D576, DanhSachLoaiQuyetDinhRange, 2, FALSE))</f>
      </c>
      <c r="AA576" s="0">
        <f>IF(I576="", "", VLOOKUP(I576, DanhSachPhongBanRange, 2, FALSE))</f>
      </c>
      <c r="AB576" s="0">
        <f>IF(J576="", "", VLOOKUP(J576, DanhSachChucDanhRange, 2, FALSE))</f>
      </c>
      <c r="AC576" s="0">
        <f>IF(L576="", "", VLOOKUP(L576, ThangLuongData, 2, FALSE))</f>
      </c>
      <c r="AD576" s="0">
        <f>IF(M576="", "", VLOOKUP(M576, NgachLuongData, 2, FALSE))</f>
      </c>
      <c r="AE576" s="0">
        <f>IF(N576="", "", VLOOKUP(N576, BacLuongData, 2, FALSE))</f>
      </c>
      <c r="AF576" s="0">
        <f>IF(P576="", "", VLOOKUP(P576, DanhSachCodeId, 3, FALSE))</f>
      </c>
    </row>
    <row r="577">
      <c r="A577" s="0">
        <f>IF(B577="", "", VLOOKUP(B577, DanhSachCodeId, 3, FALSE))</f>
      </c>
      <c r="C577" s="0">
        <f>IF(B577="", "", VLOOKUP(B577, DanhSachNhanVien, 2, FALSE))</f>
      </c>
      <c r="Q577" s="0">
        <f>IF(P577="", "", VLOOKUP(P577, DanhSachNhanVien, 2, FALSE))</f>
      </c>
      <c r="Z577" s="0">
        <f>IF(D577="", "", VLOOKUP(D577, DanhSachLoaiQuyetDinhRange, 2, FALSE))</f>
      </c>
      <c r="AA577" s="0">
        <f>IF(I577="", "", VLOOKUP(I577, DanhSachPhongBanRange, 2, FALSE))</f>
      </c>
      <c r="AB577" s="0">
        <f>IF(J577="", "", VLOOKUP(J577, DanhSachChucDanhRange, 2, FALSE))</f>
      </c>
      <c r="AC577" s="0">
        <f>IF(L577="", "", VLOOKUP(L577, ThangLuongData, 2, FALSE))</f>
      </c>
      <c r="AD577" s="0">
        <f>IF(M577="", "", VLOOKUP(M577, NgachLuongData, 2, FALSE))</f>
      </c>
      <c r="AE577" s="0">
        <f>IF(N577="", "", VLOOKUP(N577, BacLuongData, 2, FALSE))</f>
      </c>
      <c r="AF577" s="0">
        <f>IF(P577="", "", VLOOKUP(P577, DanhSachCodeId, 3, FALSE))</f>
      </c>
    </row>
    <row r="578">
      <c r="A578" s="0">
        <f>IF(B578="", "", VLOOKUP(B578, DanhSachCodeId, 3, FALSE))</f>
      </c>
      <c r="C578" s="0">
        <f>IF(B578="", "", VLOOKUP(B578, DanhSachNhanVien, 2, FALSE))</f>
      </c>
      <c r="Q578" s="0">
        <f>IF(P578="", "", VLOOKUP(P578, DanhSachNhanVien, 2, FALSE))</f>
      </c>
      <c r="Z578" s="0">
        <f>IF(D578="", "", VLOOKUP(D578, DanhSachLoaiQuyetDinhRange, 2, FALSE))</f>
      </c>
      <c r="AA578" s="0">
        <f>IF(I578="", "", VLOOKUP(I578, DanhSachPhongBanRange, 2, FALSE))</f>
      </c>
      <c r="AB578" s="0">
        <f>IF(J578="", "", VLOOKUP(J578, DanhSachChucDanhRange, 2, FALSE))</f>
      </c>
      <c r="AC578" s="0">
        <f>IF(L578="", "", VLOOKUP(L578, ThangLuongData, 2, FALSE))</f>
      </c>
      <c r="AD578" s="0">
        <f>IF(M578="", "", VLOOKUP(M578, NgachLuongData, 2, FALSE))</f>
      </c>
      <c r="AE578" s="0">
        <f>IF(N578="", "", VLOOKUP(N578, BacLuongData, 2, FALSE))</f>
      </c>
      <c r="AF578" s="0">
        <f>IF(P578="", "", VLOOKUP(P578, DanhSachCodeId, 3, FALSE))</f>
      </c>
    </row>
    <row r="579">
      <c r="A579" s="0">
        <f>IF(B579="", "", VLOOKUP(B579, DanhSachCodeId, 3, FALSE))</f>
      </c>
      <c r="C579" s="0">
        <f>IF(B579="", "", VLOOKUP(B579, DanhSachNhanVien, 2, FALSE))</f>
      </c>
      <c r="Q579" s="0">
        <f>IF(P579="", "", VLOOKUP(P579, DanhSachNhanVien, 2, FALSE))</f>
      </c>
      <c r="Z579" s="0">
        <f>IF(D579="", "", VLOOKUP(D579, DanhSachLoaiQuyetDinhRange, 2, FALSE))</f>
      </c>
      <c r="AA579" s="0">
        <f>IF(I579="", "", VLOOKUP(I579, DanhSachPhongBanRange, 2, FALSE))</f>
      </c>
      <c r="AB579" s="0">
        <f>IF(J579="", "", VLOOKUP(J579, DanhSachChucDanhRange, 2, FALSE))</f>
      </c>
      <c r="AC579" s="0">
        <f>IF(L579="", "", VLOOKUP(L579, ThangLuongData, 2, FALSE))</f>
      </c>
      <c r="AD579" s="0">
        <f>IF(M579="", "", VLOOKUP(M579, NgachLuongData, 2, FALSE))</f>
      </c>
      <c r="AE579" s="0">
        <f>IF(N579="", "", VLOOKUP(N579, BacLuongData, 2, FALSE))</f>
      </c>
      <c r="AF579" s="0">
        <f>IF(P579="", "", VLOOKUP(P579, DanhSachCodeId, 3, FALSE))</f>
      </c>
    </row>
    <row r="580">
      <c r="A580" s="0">
        <f>IF(B580="", "", VLOOKUP(B580, DanhSachCodeId, 3, FALSE))</f>
      </c>
      <c r="C580" s="0">
        <f>IF(B580="", "", VLOOKUP(B580, DanhSachNhanVien, 2, FALSE))</f>
      </c>
      <c r="Q580" s="0">
        <f>IF(P580="", "", VLOOKUP(P580, DanhSachNhanVien, 2, FALSE))</f>
      </c>
      <c r="Z580" s="0">
        <f>IF(D580="", "", VLOOKUP(D580, DanhSachLoaiQuyetDinhRange, 2, FALSE))</f>
      </c>
      <c r="AA580" s="0">
        <f>IF(I580="", "", VLOOKUP(I580, DanhSachPhongBanRange, 2, FALSE))</f>
      </c>
      <c r="AB580" s="0">
        <f>IF(J580="", "", VLOOKUP(J580, DanhSachChucDanhRange, 2, FALSE))</f>
      </c>
      <c r="AC580" s="0">
        <f>IF(L580="", "", VLOOKUP(L580, ThangLuongData, 2, FALSE))</f>
      </c>
      <c r="AD580" s="0">
        <f>IF(M580="", "", VLOOKUP(M580, NgachLuongData, 2, FALSE))</f>
      </c>
      <c r="AE580" s="0">
        <f>IF(N580="", "", VLOOKUP(N580, BacLuongData, 2, FALSE))</f>
      </c>
      <c r="AF580" s="0">
        <f>IF(P580="", "", VLOOKUP(P580, DanhSachCodeId, 3, FALSE))</f>
      </c>
    </row>
    <row r="581">
      <c r="A581" s="0">
        <f>IF(B581="", "", VLOOKUP(B581, DanhSachCodeId, 3, FALSE))</f>
      </c>
      <c r="C581" s="0">
        <f>IF(B581="", "", VLOOKUP(B581, DanhSachNhanVien, 2, FALSE))</f>
      </c>
      <c r="Q581" s="0">
        <f>IF(P581="", "", VLOOKUP(P581, DanhSachNhanVien, 2, FALSE))</f>
      </c>
      <c r="Z581" s="0">
        <f>IF(D581="", "", VLOOKUP(D581, DanhSachLoaiQuyetDinhRange, 2, FALSE))</f>
      </c>
      <c r="AA581" s="0">
        <f>IF(I581="", "", VLOOKUP(I581, DanhSachPhongBanRange, 2, FALSE))</f>
      </c>
      <c r="AB581" s="0">
        <f>IF(J581="", "", VLOOKUP(J581, DanhSachChucDanhRange, 2, FALSE))</f>
      </c>
      <c r="AC581" s="0">
        <f>IF(L581="", "", VLOOKUP(L581, ThangLuongData, 2, FALSE))</f>
      </c>
      <c r="AD581" s="0">
        <f>IF(M581="", "", VLOOKUP(M581, NgachLuongData, 2, FALSE))</f>
      </c>
      <c r="AE581" s="0">
        <f>IF(N581="", "", VLOOKUP(N581, BacLuongData, 2, FALSE))</f>
      </c>
      <c r="AF581" s="0">
        <f>IF(P581="", "", VLOOKUP(P581, DanhSachCodeId, 3, FALSE))</f>
      </c>
    </row>
    <row r="582">
      <c r="A582" s="0">
        <f>IF(B582="", "", VLOOKUP(B582, DanhSachCodeId, 3, FALSE))</f>
      </c>
      <c r="C582" s="0">
        <f>IF(B582="", "", VLOOKUP(B582, DanhSachNhanVien, 2, FALSE))</f>
      </c>
      <c r="Q582" s="0">
        <f>IF(P582="", "", VLOOKUP(P582, DanhSachNhanVien, 2, FALSE))</f>
      </c>
      <c r="Z582" s="0">
        <f>IF(D582="", "", VLOOKUP(D582, DanhSachLoaiQuyetDinhRange, 2, FALSE))</f>
      </c>
      <c r="AA582" s="0">
        <f>IF(I582="", "", VLOOKUP(I582, DanhSachPhongBanRange, 2, FALSE))</f>
      </c>
      <c r="AB582" s="0">
        <f>IF(J582="", "", VLOOKUP(J582, DanhSachChucDanhRange, 2, FALSE))</f>
      </c>
      <c r="AC582" s="0">
        <f>IF(L582="", "", VLOOKUP(L582, ThangLuongData, 2, FALSE))</f>
      </c>
      <c r="AD582" s="0">
        <f>IF(M582="", "", VLOOKUP(M582, NgachLuongData, 2, FALSE))</f>
      </c>
      <c r="AE582" s="0">
        <f>IF(N582="", "", VLOOKUP(N582, BacLuongData, 2, FALSE))</f>
      </c>
      <c r="AF582" s="0">
        <f>IF(P582="", "", VLOOKUP(P582, DanhSachCodeId, 3, FALSE))</f>
      </c>
    </row>
    <row r="583">
      <c r="A583" s="0">
        <f>IF(B583="", "", VLOOKUP(B583, DanhSachCodeId, 3, FALSE))</f>
      </c>
      <c r="C583" s="0">
        <f>IF(B583="", "", VLOOKUP(B583, DanhSachNhanVien, 2, FALSE))</f>
      </c>
      <c r="Q583" s="0">
        <f>IF(P583="", "", VLOOKUP(P583, DanhSachNhanVien, 2, FALSE))</f>
      </c>
      <c r="Z583" s="0">
        <f>IF(D583="", "", VLOOKUP(D583, DanhSachLoaiQuyetDinhRange, 2, FALSE))</f>
      </c>
      <c r="AA583" s="0">
        <f>IF(I583="", "", VLOOKUP(I583, DanhSachPhongBanRange, 2, FALSE))</f>
      </c>
      <c r="AB583" s="0">
        <f>IF(J583="", "", VLOOKUP(J583, DanhSachChucDanhRange, 2, FALSE))</f>
      </c>
      <c r="AC583" s="0">
        <f>IF(L583="", "", VLOOKUP(L583, ThangLuongData, 2, FALSE))</f>
      </c>
      <c r="AD583" s="0">
        <f>IF(M583="", "", VLOOKUP(M583, NgachLuongData, 2, FALSE))</f>
      </c>
      <c r="AE583" s="0">
        <f>IF(N583="", "", VLOOKUP(N583, BacLuongData, 2, FALSE))</f>
      </c>
      <c r="AF583" s="0">
        <f>IF(P583="", "", VLOOKUP(P583, DanhSachCodeId, 3, FALSE))</f>
      </c>
    </row>
    <row r="584">
      <c r="A584" s="0">
        <f>IF(B584="", "", VLOOKUP(B584, DanhSachCodeId, 3, FALSE))</f>
      </c>
      <c r="C584" s="0">
        <f>IF(B584="", "", VLOOKUP(B584, DanhSachNhanVien, 2, FALSE))</f>
      </c>
      <c r="Q584" s="0">
        <f>IF(P584="", "", VLOOKUP(P584, DanhSachNhanVien, 2, FALSE))</f>
      </c>
      <c r="Z584" s="0">
        <f>IF(D584="", "", VLOOKUP(D584, DanhSachLoaiQuyetDinhRange, 2, FALSE))</f>
      </c>
      <c r="AA584" s="0">
        <f>IF(I584="", "", VLOOKUP(I584, DanhSachPhongBanRange, 2, FALSE))</f>
      </c>
      <c r="AB584" s="0">
        <f>IF(J584="", "", VLOOKUP(J584, DanhSachChucDanhRange, 2, FALSE))</f>
      </c>
      <c r="AC584" s="0">
        <f>IF(L584="", "", VLOOKUP(L584, ThangLuongData, 2, FALSE))</f>
      </c>
      <c r="AD584" s="0">
        <f>IF(M584="", "", VLOOKUP(M584, NgachLuongData, 2, FALSE))</f>
      </c>
      <c r="AE584" s="0">
        <f>IF(N584="", "", VLOOKUP(N584, BacLuongData, 2, FALSE))</f>
      </c>
      <c r="AF584" s="0">
        <f>IF(P584="", "", VLOOKUP(P584, DanhSachCodeId, 3, FALSE))</f>
      </c>
    </row>
    <row r="585">
      <c r="A585" s="0">
        <f>IF(B585="", "", VLOOKUP(B585, DanhSachCodeId, 3, FALSE))</f>
      </c>
      <c r="C585" s="0">
        <f>IF(B585="", "", VLOOKUP(B585, DanhSachNhanVien, 2, FALSE))</f>
      </c>
      <c r="Q585" s="0">
        <f>IF(P585="", "", VLOOKUP(P585, DanhSachNhanVien, 2, FALSE))</f>
      </c>
      <c r="Z585" s="0">
        <f>IF(D585="", "", VLOOKUP(D585, DanhSachLoaiQuyetDinhRange, 2, FALSE))</f>
      </c>
      <c r="AA585" s="0">
        <f>IF(I585="", "", VLOOKUP(I585, DanhSachPhongBanRange, 2, FALSE))</f>
      </c>
      <c r="AB585" s="0">
        <f>IF(J585="", "", VLOOKUP(J585, DanhSachChucDanhRange, 2, FALSE))</f>
      </c>
      <c r="AC585" s="0">
        <f>IF(L585="", "", VLOOKUP(L585, ThangLuongData, 2, FALSE))</f>
      </c>
      <c r="AD585" s="0">
        <f>IF(M585="", "", VLOOKUP(M585, NgachLuongData, 2, FALSE))</f>
      </c>
      <c r="AE585" s="0">
        <f>IF(N585="", "", VLOOKUP(N585, BacLuongData, 2, FALSE))</f>
      </c>
      <c r="AF585" s="0">
        <f>IF(P585="", "", VLOOKUP(P585, DanhSachCodeId, 3, FALSE))</f>
      </c>
    </row>
    <row r="586">
      <c r="A586" s="0">
        <f>IF(B586="", "", VLOOKUP(B586, DanhSachCodeId, 3, FALSE))</f>
      </c>
      <c r="C586" s="0">
        <f>IF(B586="", "", VLOOKUP(B586, DanhSachNhanVien, 2, FALSE))</f>
      </c>
      <c r="Q586" s="0">
        <f>IF(P586="", "", VLOOKUP(P586, DanhSachNhanVien, 2, FALSE))</f>
      </c>
      <c r="Z586" s="0">
        <f>IF(D586="", "", VLOOKUP(D586, DanhSachLoaiQuyetDinhRange, 2, FALSE))</f>
      </c>
      <c r="AA586" s="0">
        <f>IF(I586="", "", VLOOKUP(I586, DanhSachPhongBanRange, 2, FALSE))</f>
      </c>
      <c r="AB586" s="0">
        <f>IF(J586="", "", VLOOKUP(J586, DanhSachChucDanhRange, 2, FALSE))</f>
      </c>
      <c r="AC586" s="0">
        <f>IF(L586="", "", VLOOKUP(L586, ThangLuongData, 2, FALSE))</f>
      </c>
      <c r="AD586" s="0">
        <f>IF(M586="", "", VLOOKUP(M586, NgachLuongData, 2, FALSE))</f>
      </c>
      <c r="AE586" s="0">
        <f>IF(N586="", "", VLOOKUP(N586, BacLuongData, 2, FALSE))</f>
      </c>
      <c r="AF586" s="0">
        <f>IF(P586="", "", VLOOKUP(P586, DanhSachCodeId, 3, FALSE))</f>
      </c>
    </row>
    <row r="587">
      <c r="A587" s="0">
        <f>IF(B587="", "", VLOOKUP(B587, DanhSachCodeId, 3, FALSE))</f>
      </c>
      <c r="C587" s="0">
        <f>IF(B587="", "", VLOOKUP(B587, DanhSachNhanVien, 2, FALSE))</f>
      </c>
      <c r="Q587" s="0">
        <f>IF(P587="", "", VLOOKUP(P587, DanhSachNhanVien, 2, FALSE))</f>
      </c>
      <c r="Z587" s="0">
        <f>IF(D587="", "", VLOOKUP(D587, DanhSachLoaiQuyetDinhRange, 2, FALSE))</f>
      </c>
      <c r="AA587" s="0">
        <f>IF(I587="", "", VLOOKUP(I587, DanhSachPhongBanRange, 2, FALSE))</f>
      </c>
      <c r="AB587" s="0">
        <f>IF(J587="", "", VLOOKUP(J587, DanhSachChucDanhRange, 2, FALSE))</f>
      </c>
      <c r="AC587" s="0">
        <f>IF(L587="", "", VLOOKUP(L587, ThangLuongData, 2, FALSE))</f>
      </c>
      <c r="AD587" s="0">
        <f>IF(M587="", "", VLOOKUP(M587, NgachLuongData, 2, FALSE))</f>
      </c>
      <c r="AE587" s="0">
        <f>IF(N587="", "", VLOOKUP(N587, BacLuongData, 2, FALSE))</f>
      </c>
      <c r="AF587" s="0">
        <f>IF(P587="", "", VLOOKUP(P587, DanhSachCodeId, 3, FALSE))</f>
      </c>
    </row>
    <row r="588">
      <c r="A588" s="0">
        <f>IF(B588="", "", VLOOKUP(B588, DanhSachCodeId, 3, FALSE))</f>
      </c>
      <c r="C588" s="0">
        <f>IF(B588="", "", VLOOKUP(B588, DanhSachNhanVien, 2, FALSE))</f>
      </c>
      <c r="Q588" s="0">
        <f>IF(P588="", "", VLOOKUP(P588, DanhSachNhanVien, 2, FALSE))</f>
      </c>
      <c r="Z588" s="0">
        <f>IF(D588="", "", VLOOKUP(D588, DanhSachLoaiQuyetDinhRange, 2, FALSE))</f>
      </c>
      <c r="AA588" s="0">
        <f>IF(I588="", "", VLOOKUP(I588, DanhSachPhongBanRange, 2, FALSE))</f>
      </c>
      <c r="AB588" s="0">
        <f>IF(J588="", "", VLOOKUP(J588, DanhSachChucDanhRange, 2, FALSE))</f>
      </c>
      <c r="AC588" s="0">
        <f>IF(L588="", "", VLOOKUP(L588, ThangLuongData, 2, FALSE))</f>
      </c>
      <c r="AD588" s="0">
        <f>IF(M588="", "", VLOOKUP(M588, NgachLuongData, 2, FALSE))</f>
      </c>
      <c r="AE588" s="0">
        <f>IF(N588="", "", VLOOKUP(N588, BacLuongData, 2, FALSE))</f>
      </c>
      <c r="AF588" s="0">
        <f>IF(P588="", "", VLOOKUP(P588, DanhSachCodeId, 3, FALSE))</f>
      </c>
    </row>
    <row r="589">
      <c r="A589" s="0">
        <f>IF(B589="", "", VLOOKUP(B589, DanhSachCodeId, 3, FALSE))</f>
      </c>
      <c r="C589" s="0">
        <f>IF(B589="", "", VLOOKUP(B589, DanhSachNhanVien, 2, FALSE))</f>
      </c>
      <c r="Q589" s="0">
        <f>IF(P589="", "", VLOOKUP(P589, DanhSachNhanVien, 2, FALSE))</f>
      </c>
      <c r="Z589" s="0">
        <f>IF(D589="", "", VLOOKUP(D589, DanhSachLoaiQuyetDinhRange, 2, FALSE))</f>
      </c>
      <c r="AA589" s="0">
        <f>IF(I589="", "", VLOOKUP(I589, DanhSachPhongBanRange, 2, FALSE))</f>
      </c>
      <c r="AB589" s="0">
        <f>IF(J589="", "", VLOOKUP(J589, DanhSachChucDanhRange, 2, FALSE))</f>
      </c>
      <c r="AC589" s="0">
        <f>IF(L589="", "", VLOOKUP(L589, ThangLuongData, 2, FALSE))</f>
      </c>
      <c r="AD589" s="0">
        <f>IF(M589="", "", VLOOKUP(M589, NgachLuongData, 2, FALSE))</f>
      </c>
      <c r="AE589" s="0">
        <f>IF(N589="", "", VLOOKUP(N589, BacLuongData, 2, FALSE))</f>
      </c>
      <c r="AF589" s="0">
        <f>IF(P589="", "", VLOOKUP(P589, DanhSachCodeId, 3, FALSE))</f>
      </c>
    </row>
    <row r="590">
      <c r="A590" s="0">
        <f>IF(B590="", "", VLOOKUP(B590, DanhSachCodeId, 3, FALSE))</f>
      </c>
      <c r="C590" s="0">
        <f>IF(B590="", "", VLOOKUP(B590, DanhSachNhanVien, 2, FALSE))</f>
      </c>
      <c r="Q590" s="0">
        <f>IF(P590="", "", VLOOKUP(P590, DanhSachNhanVien, 2, FALSE))</f>
      </c>
      <c r="Z590" s="0">
        <f>IF(D590="", "", VLOOKUP(D590, DanhSachLoaiQuyetDinhRange, 2, FALSE))</f>
      </c>
      <c r="AA590" s="0">
        <f>IF(I590="", "", VLOOKUP(I590, DanhSachPhongBanRange, 2, FALSE))</f>
      </c>
      <c r="AB590" s="0">
        <f>IF(J590="", "", VLOOKUP(J590, DanhSachChucDanhRange, 2, FALSE))</f>
      </c>
      <c r="AC590" s="0">
        <f>IF(L590="", "", VLOOKUP(L590, ThangLuongData, 2, FALSE))</f>
      </c>
      <c r="AD590" s="0">
        <f>IF(M590="", "", VLOOKUP(M590, NgachLuongData, 2, FALSE))</f>
      </c>
      <c r="AE590" s="0">
        <f>IF(N590="", "", VLOOKUP(N590, BacLuongData, 2, FALSE))</f>
      </c>
      <c r="AF590" s="0">
        <f>IF(P590="", "", VLOOKUP(P590, DanhSachCodeId, 3, FALSE))</f>
      </c>
    </row>
    <row r="591">
      <c r="A591" s="0">
        <f>IF(B591="", "", VLOOKUP(B591, DanhSachCodeId, 3, FALSE))</f>
      </c>
      <c r="C591" s="0">
        <f>IF(B591="", "", VLOOKUP(B591, DanhSachNhanVien, 2, FALSE))</f>
      </c>
      <c r="Q591" s="0">
        <f>IF(P591="", "", VLOOKUP(P591, DanhSachNhanVien, 2, FALSE))</f>
      </c>
      <c r="Z591" s="0">
        <f>IF(D591="", "", VLOOKUP(D591, DanhSachLoaiQuyetDinhRange, 2, FALSE))</f>
      </c>
      <c r="AA591" s="0">
        <f>IF(I591="", "", VLOOKUP(I591, DanhSachPhongBanRange, 2, FALSE))</f>
      </c>
      <c r="AB591" s="0">
        <f>IF(J591="", "", VLOOKUP(J591, DanhSachChucDanhRange, 2, FALSE))</f>
      </c>
      <c r="AC591" s="0">
        <f>IF(L591="", "", VLOOKUP(L591, ThangLuongData, 2, FALSE))</f>
      </c>
      <c r="AD591" s="0">
        <f>IF(M591="", "", VLOOKUP(M591, NgachLuongData, 2, FALSE))</f>
      </c>
      <c r="AE591" s="0">
        <f>IF(N591="", "", VLOOKUP(N591, BacLuongData, 2, FALSE))</f>
      </c>
      <c r="AF591" s="0">
        <f>IF(P591="", "", VLOOKUP(P591, DanhSachCodeId, 3, FALSE))</f>
      </c>
    </row>
    <row r="592">
      <c r="A592" s="0">
        <f>IF(B592="", "", VLOOKUP(B592, DanhSachCodeId, 3, FALSE))</f>
      </c>
      <c r="C592" s="0">
        <f>IF(B592="", "", VLOOKUP(B592, DanhSachNhanVien, 2, FALSE))</f>
      </c>
      <c r="Q592" s="0">
        <f>IF(P592="", "", VLOOKUP(P592, DanhSachNhanVien, 2, FALSE))</f>
      </c>
      <c r="Z592" s="0">
        <f>IF(D592="", "", VLOOKUP(D592, DanhSachLoaiQuyetDinhRange, 2, FALSE))</f>
      </c>
      <c r="AA592" s="0">
        <f>IF(I592="", "", VLOOKUP(I592, DanhSachPhongBanRange, 2, FALSE))</f>
      </c>
      <c r="AB592" s="0">
        <f>IF(J592="", "", VLOOKUP(J592, DanhSachChucDanhRange, 2, FALSE))</f>
      </c>
      <c r="AC592" s="0">
        <f>IF(L592="", "", VLOOKUP(L592, ThangLuongData, 2, FALSE))</f>
      </c>
      <c r="AD592" s="0">
        <f>IF(M592="", "", VLOOKUP(M592, NgachLuongData, 2, FALSE))</f>
      </c>
      <c r="AE592" s="0">
        <f>IF(N592="", "", VLOOKUP(N592, BacLuongData, 2, FALSE))</f>
      </c>
      <c r="AF592" s="0">
        <f>IF(P592="", "", VLOOKUP(P592, DanhSachCodeId, 3, FALSE))</f>
      </c>
    </row>
    <row r="593">
      <c r="A593" s="0">
        <f>IF(B593="", "", VLOOKUP(B593, DanhSachCodeId, 3, FALSE))</f>
      </c>
      <c r="C593" s="0">
        <f>IF(B593="", "", VLOOKUP(B593, DanhSachNhanVien, 2, FALSE))</f>
      </c>
      <c r="Q593" s="0">
        <f>IF(P593="", "", VLOOKUP(P593, DanhSachNhanVien, 2, FALSE))</f>
      </c>
      <c r="Z593" s="0">
        <f>IF(D593="", "", VLOOKUP(D593, DanhSachLoaiQuyetDinhRange, 2, FALSE))</f>
      </c>
      <c r="AA593" s="0">
        <f>IF(I593="", "", VLOOKUP(I593, DanhSachPhongBanRange, 2, FALSE))</f>
      </c>
      <c r="AB593" s="0">
        <f>IF(J593="", "", VLOOKUP(J593, DanhSachChucDanhRange, 2, FALSE))</f>
      </c>
      <c r="AC593" s="0">
        <f>IF(L593="", "", VLOOKUP(L593, ThangLuongData, 2, FALSE))</f>
      </c>
      <c r="AD593" s="0">
        <f>IF(M593="", "", VLOOKUP(M593, NgachLuongData, 2, FALSE))</f>
      </c>
      <c r="AE593" s="0">
        <f>IF(N593="", "", VLOOKUP(N593, BacLuongData, 2, FALSE))</f>
      </c>
      <c r="AF593" s="0">
        <f>IF(P593="", "", VLOOKUP(P593, DanhSachCodeId, 3, FALSE))</f>
      </c>
    </row>
    <row r="594">
      <c r="A594" s="0">
        <f>IF(B594="", "", VLOOKUP(B594, DanhSachCodeId, 3, FALSE))</f>
      </c>
      <c r="C594" s="0">
        <f>IF(B594="", "", VLOOKUP(B594, DanhSachNhanVien, 2, FALSE))</f>
      </c>
      <c r="Q594" s="0">
        <f>IF(P594="", "", VLOOKUP(P594, DanhSachNhanVien, 2, FALSE))</f>
      </c>
      <c r="Z594" s="0">
        <f>IF(D594="", "", VLOOKUP(D594, DanhSachLoaiQuyetDinhRange, 2, FALSE))</f>
      </c>
      <c r="AA594" s="0">
        <f>IF(I594="", "", VLOOKUP(I594, DanhSachPhongBanRange, 2, FALSE))</f>
      </c>
      <c r="AB594" s="0">
        <f>IF(J594="", "", VLOOKUP(J594, DanhSachChucDanhRange, 2, FALSE))</f>
      </c>
      <c r="AC594" s="0">
        <f>IF(L594="", "", VLOOKUP(L594, ThangLuongData, 2, FALSE))</f>
      </c>
      <c r="AD594" s="0">
        <f>IF(M594="", "", VLOOKUP(M594, NgachLuongData, 2, FALSE))</f>
      </c>
      <c r="AE594" s="0">
        <f>IF(N594="", "", VLOOKUP(N594, BacLuongData, 2, FALSE))</f>
      </c>
      <c r="AF594" s="0">
        <f>IF(P594="", "", VLOOKUP(P594, DanhSachCodeId, 3, FALSE))</f>
      </c>
    </row>
    <row r="595">
      <c r="A595" s="0">
        <f>IF(B595="", "", VLOOKUP(B595, DanhSachCodeId, 3, FALSE))</f>
      </c>
      <c r="C595" s="0">
        <f>IF(B595="", "", VLOOKUP(B595, DanhSachNhanVien, 2, FALSE))</f>
      </c>
      <c r="Q595" s="0">
        <f>IF(P595="", "", VLOOKUP(P595, DanhSachNhanVien, 2, FALSE))</f>
      </c>
      <c r="Z595" s="0">
        <f>IF(D595="", "", VLOOKUP(D595, DanhSachLoaiQuyetDinhRange, 2, FALSE))</f>
      </c>
      <c r="AA595" s="0">
        <f>IF(I595="", "", VLOOKUP(I595, DanhSachPhongBanRange, 2, FALSE))</f>
      </c>
      <c r="AB595" s="0">
        <f>IF(J595="", "", VLOOKUP(J595, DanhSachChucDanhRange, 2, FALSE))</f>
      </c>
      <c r="AC595" s="0">
        <f>IF(L595="", "", VLOOKUP(L595, ThangLuongData, 2, FALSE))</f>
      </c>
      <c r="AD595" s="0">
        <f>IF(M595="", "", VLOOKUP(M595, NgachLuongData, 2, FALSE))</f>
      </c>
      <c r="AE595" s="0">
        <f>IF(N595="", "", VLOOKUP(N595, BacLuongData, 2, FALSE))</f>
      </c>
      <c r="AF595" s="0">
        <f>IF(P595="", "", VLOOKUP(P595, DanhSachCodeId, 3, FALSE))</f>
      </c>
    </row>
    <row r="596">
      <c r="A596" s="0">
        <f>IF(B596="", "", VLOOKUP(B596, DanhSachCodeId, 3, FALSE))</f>
      </c>
      <c r="C596" s="0">
        <f>IF(B596="", "", VLOOKUP(B596, DanhSachNhanVien, 2, FALSE))</f>
      </c>
      <c r="Q596" s="0">
        <f>IF(P596="", "", VLOOKUP(P596, DanhSachNhanVien, 2, FALSE))</f>
      </c>
      <c r="Z596" s="0">
        <f>IF(D596="", "", VLOOKUP(D596, DanhSachLoaiQuyetDinhRange, 2, FALSE))</f>
      </c>
      <c r="AA596" s="0">
        <f>IF(I596="", "", VLOOKUP(I596, DanhSachPhongBanRange, 2, FALSE))</f>
      </c>
      <c r="AB596" s="0">
        <f>IF(J596="", "", VLOOKUP(J596, DanhSachChucDanhRange, 2, FALSE))</f>
      </c>
      <c r="AC596" s="0">
        <f>IF(L596="", "", VLOOKUP(L596, ThangLuongData, 2, FALSE))</f>
      </c>
      <c r="AD596" s="0">
        <f>IF(M596="", "", VLOOKUP(M596, NgachLuongData, 2, FALSE))</f>
      </c>
      <c r="AE596" s="0">
        <f>IF(N596="", "", VLOOKUP(N596, BacLuongData, 2, FALSE))</f>
      </c>
      <c r="AF596" s="0">
        <f>IF(P596="", "", VLOOKUP(P596, DanhSachCodeId, 3, FALSE))</f>
      </c>
    </row>
    <row r="597">
      <c r="A597" s="0">
        <f>IF(B597="", "", VLOOKUP(B597, DanhSachCodeId, 3, FALSE))</f>
      </c>
      <c r="C597" s="0">
        <f>IF(B597="", "", VLOOKUP(B597, DanhSachNhanVien, 2, FALSE))</f>
      </c>
      <c r="Q597" s="0">
        <f>IF(P597="", "", VLOOKUP(P597, DanhSachNhanVien, 2, FALSE))</f>
      </c>
      <c r="Z597" s="0">
        <f>IF(D597="", "", VLOOKUP(D597, DanhSachLoaiQuyetDinhRange, 2, FALSE))</f>
      </c>
      <c r="AA597" s="0">
        <f>IF(I597="", "", VLOOKUP(I597, DanhSachPhongBanRange, 2, FALSE))</f>
      </c>
      <c r="AB597" s="0">
        <f>IF(J597="", "", VLOOKUP(J597, DanhSachChucDanhRange, 2, FALSE))</f>
      </c>
      <c r="AC597" s="0">
        <f>IF(L597="", "", VLOOKUP(L597, ThangLuongData, 2, FALSE))</f>
      </c>
      <c r="AD597" s="0">
        <f>IF(M597="", "", VLOOKUP(M597, NgachLuongData, 2, FALSE))</f>
      </c>
      <c r="AE597" s="0">
        <f>IF(N597="", "", VLOOKUP(N597, BacLuongData, 2, FALSE))</f>
      </c>
      <c r="AF597" s="0">
        <f>IF(P597="", "", VLOOKUP(P597, DanhSachCodeId, 3, FALSE))</f>
      </c>
    </row>
    <row r="598">
      <c r="A598" s="0">
        <f>IF(B598="", "", VLOOKUP(B598, DanhSachCodeId, 3, FALSE))</f>
      </c>
      <c r="C598" s="0">
        <f>IF(B598="", "", VLOOKUP(B598, DanhSachNhanVien, 2, FALSE))</f>
      </c>
      <c r="Q598" s="0">
        <f>IF(P598="", "", VLOOKUP(P598, DanhSachNhanVien, 2, FALSE))</f>
      </c>
      <c r="Z598" s="0">
        <f>IF(D598="", "", VLOOKUP(D598, DanhSachLoaiQuyetDinhRange, 2, FALSE))</f>
      </c>
      <c r="AA598" s="0">
        <f>IF(I598="", "", VLOOKUP(I598, DanhSachPhongBanRange, 2, FALSE))</f>
      </c>
      <c r="AB598" s="0">
        <f>IF(J598="", "", VLOOKUP(J598, DanhSachChucDanhRange, 2, FALSE))</f>
      </c>
      <c r="AC598" s="0">
        <f>IF(L598="", "", VLOOKUP(L598, ThangLuongData, 2, FALSE))</f>
      </c>
      <c r="AD598" s="0">
        <f>IF(M598="", "", VLOOKUP(M598, NgachLuongData, 2, FALSE))</f>
      </c>
      <c r="AE598" s="0">
        <f>IF(N598="", "", VLOOKUP(N598, BacLuongData, 2, FALSE))</f>
      </c>
      <c r="AF598" s="0">
        <f>IF(P598="", "", VLOOKUP(P598, DanhSachCodeId, 3, FALSE))</f>
      </c>
    </row>
    <row r="599">
      <c r="A599" s="0">
        <f>IF(B599="", "", VLOOKUP(B599, DanhSachCodeId, 3, FALSE))</f>
      </c>
      <c r="C599" s="0">
        <f>IF(B599="", "", VLOOKUP(B599, DanhSachNhanVien, 2, FALSE))</f>
      </c>
      <c r="Q599" s="0">
        <f>IF(P599="", "", VLOOKUP(P599, DanhSachNhanVien, 2, FALSE))</f>
      </c>
      <c r="Z599" s="0">
        <f>IF(D599="", "", VLOOKUP(D599, DanhSachLoaiQuyetDinhRange, 2, FALSE))</f>
      </c>
      <c r="AA599" s="0">
        <f>IF(I599="", "", VLOOKUP(I599, DanhSachPhongBanRange, 2, FALSE))</f>
      </c>
      <c r="AB599" s="0">
        <f>IF(J599="", "", VLOOKUP(J599, DanhSachChucDanhRange, 2, FALSE))</f>
      </c>
      <c r="AC599" s="0">
        <f>IF(L599="", "", VLOOKUP(L599, ThangLuongData, 2, FALSE))</f>
      </c>
      <c r="AD599" s="0">
        <f>IF(M599="", "", VLOOKUP(M599, NgachLuongData, 2, FALSE))</f>
      </c>
      <c r="AE599" s="0">
        <f>IF(N599="", "", VLOOKUP(N599, BacLuongData, 2, FALSE))</f>
      </c>
      <c r="AF599" s="0">
        <f>IF(P599="", "", VLOOKUP(P599, DanhSachCodeId, 3, FALSE))</f>
      </c>
    </row>
    <row r="600">
      <c r="A600" s="0">
        <f>IF(B600="", "", VLOOKUP(B600, DanhSachCodeId, 3, FALSE))</f>
      </c>
      <c r="C600" s="0">
        <f>IF(B600="", "", VLOOKUP(B600, DanhSachNhanVien, 2, FALSE))</f>
      </c>
      <c r="Q600" s="0">
        <f>IF(P600="", "", VLOOKUP(P600, DanhSachNhanVien, 2, FALSE))</f>
      </c>
      <c r="Z600" s="0">
        <f>IF(D600="", "", VLOOKUP(D600, DanhSachLoaiQuyetDinhRange, 2, FALSE))</f>
      </c>
      <c r="AA600" s="0">
        <f>IF(I600="", "", VLOOKUP(I600, DanhSachPhongBanRange, 2, FALSE))</f>
      </c>
      <c r="AB600" s="0">
        <f>IF(J600="", "", VLOOKUP(J600, DanhSachChucDanhRange, 2, FALSE))</f>
      </c>
      <c r="AC600" s="0">
        <f>IF(L600="", "", VLOOKUP(L600, ThangLuongData, 2, FALSE))</f>
      </c>
      <c r="AD600" s="0">
        <f>IF(M600="", "", VLOOKUP(M600, NgachLuongData, 2, FALSE))</f>
      </c>
      <c r="AE600" s="0">
        <f>IF(N600="", "", VLOOKUP(N600, BacLuongData, 2, FALSE))</f>
      </c>
      <c r="AF600" s="0">
        <f>IF(P600="", "", VLOOKUP(P600, DanhSachCodeId, 3, FALSE))</f>
      </c>
    </row>
    <row r="601">
      <c r="A601" s="0">
        <f>IF(B601="", "", VLOOKUP(B601, DanhSachCodeId, 3, FALSE))</f>
      </c>
      <c r="C601" s="0">
        <f>IF(B601="", "", VLOOKUP(B601, DanhSachNhanVien, 2, FALSE))</f>
      </c>
      <c r="Q601" s="0">
        <f>IF(P601="", "", VLOOKUP(P601, DanhSachNhanVien, 2, FALSE))</f>
      </c>
      <c r="Z601" s="0">
        <f>IF(D601="", "", VLOOKUP(D601, DanhSachLoaiQuyetDinhRange, 2, FALSE))</f>
      </c>
      <c r="AA601" s="0">
        <f>IF(I601="", "", VLOOKUP(I601, DanhSachPhongBanRange, 2, FALSE))</f>
      </c>
      <c r="AB601" s="0">
        <f>IF(J601="", "", VLOOKUP(J601, DanhSachChucDanhRange, 2, FALSE))</f>
      </c>
      <c r="AC601" s="0">
        <f>IF(L601="", "", VLOOKUP(L601, ThangLuongData, 2, FALSE))</f>
      </c>
      <c r="AD601" s="0">
        <f>IF(M601="", "", VLOOKUP(M601, NgachLuongData, 2, FALSE))</f>
      </c>
      <c r="AE601" s="0">
        <f>IF(N601="", "", VLOOKUP(N601, BacLuongData, 2, FALSE))</f>
      </c>
      <c r="AF601" s="0">
        <f>IF(P601="", "", VLOOKUP(P601, DanhSachCodeId, 3, FALSE))</f>
      </c>
    </row>
    <row r="602">
      <c r="A602" s="0">
        <f>IF(B602="", "", VLOOKUP(B602, DanhSachCodeId, 3, FALSE))</f>
      </c>
      <c r="C602" s="0">
        <f>IF(B602="", "", VLOOKUP(B602, DanhSachNhanVien, 2, FALSE))</f>
      </c>
      <c r="Q602" s="0">
        <f>IF(P602="", "", VLOOKUP(P602, DanhSachNhanVien, 2, FALSE))</f>
      </c>
      <c r="Z602" s="0">
        <f>IF(D602="", "", VLOOKUP(D602, DanhSachLoaiQuyetDinhRange, 2, FALSE))</f>
      </c>
      <c r="AA602" s="0">
        <f>IF(I602="", "", VLOOKUP(I602, DanhSachPhongBanRange, 2, FALSE))</f>
      </c>
      <c r="AB602" s="0">
        <f>IF(J602="", "", VLOOKUP(J602, DanhSachChucDanhRange, 2, FALSE))</f>
      </c>
      <c r="AC602" s="0">
        <f>IF(L602="", "", VLOOKUP(L602, ThangLuongData, 2, FALSE))</f>
      </c>
      <c r="AD602" s="0">
        <f>IF(M602="", "", VLOOKUP(M602, NgachLuongData, 2, FALSE))</f>
      </c>
      <c r="AE602" s="0">
        <f>IF(N602="", "", VLOOKUP(N602, BacLuongData, 2, FALSE))</f>
      </c>
      <c r="AF602" s="0">
        <f>IF(P602="", "", VLOOKUP(P602, DanhSachCodeId, 3, FALSE))</f>
      </c>
    </row>
    <row r="603">
      <c r="A603" s="0">
        <f>IF(B603="", "", VLOOKUP(B603, DanhSachCodeId, 3, FALSE))</f>
      </c>
      <c r="C603" s="0">
        <f>IF(B603="", "", VLOOKUP(B603, DanhSachNhanVien, 2, FALSE))</f>
      </c>
      <c r="Q603" s="0">
        <f>IF(P603="", "", VLOOKUP(P603, DanhSachNhanVien, 2, FALSE))</f>
      </c>
      <c r="Z603" s="0">
        <f>IF(D603="", "", VLOOKUP(D603, DanhSachLoaiQuyetDinhRange, 2, FALSE))</f>
      </c>
      <c r="AA603" s="0">
        <f>IF(I603="", "", VLOOKUP(I603, DanhSachPhongBanRange, 2, FALSE))</f>
      </c>
      <c r="AB603" s="0">
        <f>IF(J603="", "", VLOOKUP(J603, DanhSachChucDanhRange, 2, FALSE))</f>
      </c>
      <c r="AC603" s="0">
        <f>IF(L603="", "", VLOOKUP(L603, ThangLuongData, 2, FALSE))</f>
      </c>
      <c r="AD603" s="0">
        <f>IF(M603="", "", VLOOKUP(M603, NgachLuongData, 2, FALSE))</f>
      </c>
      <c r="AE603" s="0">
        <f>IF(N603="", "", VLOOKUP(N603, BacLuongData, 2, FALSE))</f>
      </c>
      <c r="AF603" s="0">
        <f>IF(P603="", "", VLOOKUP(P603, DanhSachCodeId, 3, FALSE))</f>
      </c>
    </row>
    <row r="604">
      <c r="A604" s="0">
        <f>IF(B604="", "", VLOOKUP(B604, DanhSachCodeId, 3, FALSE))</f>
      </c>
      <c r="C604" s="0">
        <f>IF(B604="", "", VLOOKUP(B604, DanhSachNhanVien, 2, FALSE))</f>
      </c>
      <c r="Q604" s="0">
        <f>IF(P604="", "", VLOOKUP(P604, DanhSachNhanVien, 2, FALSE))</f>
      </c>
      <c r="Z604" s="0">
        <f>IF(D604="", "", VLOOKUP(D604, DanhSachLoaiQuyetDinhRange, 2, FALSE))</f>
      </c>
      <c r="AA604" s="0">
        <f>IF(I604="", "", VLOOKUP(I604, DanhSachPhongBanRange, 2, FALSE))</f>
      </c>
      <c r="AB604" s="0">
        <f>IF(J604="", "", VLOOKUP(J604, DanhSachChucDanhRange, 2, FALSE))</f>
      </c>
      <c r="AC604" s="0">
        <f>IF(L604="", "", VLOOKUP(L604, ThangLuongData, 2, FALSE))</f>
      </c>
      <c r="AD604" s="0">
        <f>IF(M604="", "", VLOOKUP(M604, NgachLuongData, 2, FALSE))</f>
      </c>
      <c r="AE604" s="0">
        <f>IF(N604="", "", VLOOKUP(N604, BacLuongData, 2, FALSE))</f>
      </c>
      <c r="AF604" s="0">
        <f>IF(P604="", "", VLOOKUP(P604, DanhSachCodeId, 3, FALSE))</f>
      </c>
    </row>
    <row r="605">
      <c r="A605" s="0">
        <f>IF(B605="", "", VLOOKUP(B605, DanhSachCodeId, 3, FALSE))</f>
      </c>
      <c r="C605" s="0">
        <f>IF(B605="", "", VLOOKUP(B605, DanhSachNhanVien, 2, FALSE))</f>
      </c>
      <c r="Q605" s="0">
        <f>IF(P605="", "", VLOOKUP(P605, DanhSachNhanVien, 2, FALSE))</f>
      </c>
      <c r="Z605" s="0">
        <f>IF(D605="", "", VLOOKUP(D605, DanhSachLoaiQuyetDinhRange, 2, FALSE))</f>
      </c>
      <c r="AA605" s="0">
        <f>IF(I605="", "", VLOOKUP(I605, DanhSachPhongBanRange, 2, FALSE))</f>
      </c>
      <c r="AB605" s="0">
        <f>IF(J605="", "", VLOOKUP(J605, DanhSachChucDanhRange, 2, FALSE))</f>
      </c>
      <c r="AC605" s="0">
        <f>IF(L605="", "", VLOOKUP(L605, ThangLuongData, 2, FALSE))</f>
      </c>
      <c r="AD605" s="0">
        <f>IF(M605="", "", VLOOKUP(M605, NgachLuongData, 2, FALSE))</f>
      </c>
      <c r="AE605" s="0">
        <f>IF(N605="", "", VLOOKUP(N605, BacLuongData, 2, FALSE))</f>
      </c>
      <c r="AF605" s="0">
        <f>IF(P605="", "", VLOOKUP(P605, DanhSachCodeId, 3, FALSE))</f>
      </c>
    </row>
    <row r="606">
      <c r="A606" s="0">
        <f>IF(B606="", "", VLOOKUP(B606, DanhSachCodeId, 3, FALSE))</f>
      </c>
      <c r="C606" s="0">
        <f>IF(B606="", "", VLOOKUP(B606, DanhSachNhanVien, 2, FALSE))</f>
      </c>
      <c r="Q606" s="0">
        <f>IF(P606="", "", VLOOKUP(P606, DanhSachNhanVien, 2, FALSE))</f>
      </c>
      <c r="Z606" s="0">
        <f>IF(D606="", "", VLOOKUP(D606, DanhSachLoaiQuyetDinhRange, 2, FALSE))</f>
      </c>
      <c r="AA606" s="0">
        <f>IF(I606="", "", VLOOKUP(I606, DanhSachPhongBanRange, 2, FALSE))</f>
      </c>
      <c r="AB606" s="0">
        <f>IF(J606="", "", VLOOKUP(J606, DanhSachChucDanhRange, 2, FALSE))</f>
      </c>
      <c r="AC606" s="0">
        <f>IF(L606="", "", VLOOKUP(L606, ThangLuongData, 2, FALSE))</f>
      </c>
      <c r="AD606" s="0">
        <f>IF(M606="", "", VLOOKUP(M606, NgachLuongData, 2, FALSE))</f>
      </c>
      <c r="AE606" s="0">
        <f>IF(N606="", "", VLOOKUP(N606, BacLuongData, 2, FALSE))</f>
      </c>
      <c r="AF606" s="0">
        <f>IF(P606="", "", VLOOKUP(P606, DanhSachCodeId, 3, FALSE))</f>
      </c>
    </row>
    <row r="607">
      <c r="A607" s="0">
        <f>IF(B607="", "", VLOOKUP(B607, DanhSachCodeId, 3, FALSE))</f>
      </c>
      <c r="C607" s="0">
        <f>IF(B607="", "", VLOOKUP(B607, DanhSachNhanVien, 2, FALSE))</f>
      </c>
      <c r="Q607" s="0">
        <f>IF(P607="", "", VLOOKUP(P607, DanhSachNhanVien, 2, FALSE))</f>
      </c>
      <c r="Z607" s="0">
        <f>IF(D607="", "", VLOOKUP(D607, DanhSachLoaiQuyetDinhRange, 2, FALSE))</f>
      </c>
      <c r="AA607" s="0">
        <f>IF(I607="", "", VLOOKUP(I607, DanhSachPhongBanRange, 2, FALSE))</f>
      </c>
      <c r="AB607" s="0">
        <f>IF(J607="", "", VLOOKUP(J607, DanhSachChucDanhRange, 2, FALSE))</f>
      </c>
      <c r="AC607" s="0">
        <f>IF(L607="", "", VLOOKUP(L607, ThangLuongData, 2, FALSE))</f>
      </c>
      <c r="AD607" s="0">
        <f>IF(M607="", "", VLOOKUP(M607, NgachLuongData, 2, FALSE))</f>
      </c>
      <c r="AE607" s="0">
        <f>IF(N607="", "", VLOOKUP(N607, BacLuongData, 2, FALSE))</f>
      </c>
      <c r="AF607" s="0">
        <f>IF(P607="", "", VLOOKUP(P607, DanhSachCodeId, 3, FALSE))</f>
      </c>
    </row>
    <row r="608">
      <c r="A608" s="0">
        <f>IF(B608="", "", VLOOKUP(B608, DanhSachCodeId, 3, FALSE))</f>
      </c>
      <c r="C608" s="0">
        <f>IF(B608="", "", VLOOKUP(B608, DanhSachNhanVien, 2, FALSE))</f>
      </c>
      <c r="Q608" s="0">
        <f>IF(P608="", "", VLOOKUP(P608, DanhSachNhanVien, 2, FALSE))</f>
      </c>
      <c r="Z608" s="0">
        <f>IF(D608="", "", VLOOKUP(D608, DanhSachLoaiQuyetDinhRange, 2, FALSE))</f>
      </c>
      <c r="AA608" s="0">
        <f>IF(I608="", "", VLOOKUP(I608, DanhSachPhongBanRange, 2, FALSE))</f>
      </c>
      <c r="AB608" s="0">
        <f>IF(J608="", "", VLOOKUP(J608, DanhSachChucDanhRange, 2, FALSE))</f>
      </c>
      <c r="AC608" s="0">
        <f>IF(L608="", "", VLOOKUP(L608, ThangLuongData, 2, FALSE))</f>
      </c>
      <c r="AD608" s="0">
        <f>IF(M608="", "", VLOOKUP(M608, NgachLuongData, 2, FALSE))</f>
      </c>
      <c r="AE608" s="0">
        <f>IF(N608="", "", VLOOKUP(N608, BacLuongData, 2, FALSE))</f>
      </c>
      <c r="AF608" s="0">
        <f>IF(P608="", "", VLOOKUP(P608, DanhSachCodeId, 3, FALSE))</f>
      </c>
    </row>
    <row r="609">
      <c r="A609" s="0">
        <f>IF(B609="", "", VLOOKUP(B609, DanhSachCodeId, 3, FALSE))</f>
      </c>
      <c r="C609" s="0">
        <f>IF(B609="", "", VLOOKUP(B609, DanhSachNhanVien, 2, FALSE))</f>
      </c>
      <c r="Q609" s="0">
        <f>IF(P609="", "", VLOOKUP(P609, DanhSachNhanVien, 2, FALSE))</f>
      </c>
      <c r="Z609" s="0">
        <f>IF(D609="", "", VLOOKUP(D609, DanhSachLoaiQuyetDinhRange, 2, FALSE))</f>
      </c>
      <c r="AA609" s="0">
        <f>IF(I609="", "", VLOOKUP(I609, DanhSachPhongBanRange, 2, FALSE))</f>
      </c>
      <c r="AB609" s="0">
        <f>IF(J609="", "", VLOOKUP(J609, DanhSachChucDanhRange, 2, FALSE))</f>
      </c>
      <c r="AC609" s="0">
        <f>IF(L609="", "", VLOOKUP(L609, ThangLuongData, 2, FALSE))</f>
      </c>
      <c r="AD609" s="0">
        <f>IF(M609="", "", VLOOKUP(M609, NgachLuongData, 2, FALSE))</f>
      </c>
      <c r="AE609" s="0">
        <f>IF(N609="", "", VLOOKUP(N609, BacLuongData, 2, FALSE))</f>
      </c>
      <c r="AF609" s="0">
        <f>IF(P609="", "", VLOOKUP(P609, DanhSachCodeId, 3, FALSE))</f>
      </c>
    </row>
    <row r="610">
      <c r="A610" s="0">
        <f>IF(B610="", "", VLOOKUP(B610, DanhSachCodeId, 3, FALSE))</f>
      </c>
      <c r="C610" s="0">
        <f>IF(B610="", "", VLOOKUP(B610, DanhSachNhanVien, 2, FALSE))</f>
      </c>
      <c r="Q610" s="0">
        <f>IF(P610="", "", VLOOKUP(P610, DanhSachNhanVien, 2, FALSE))</f>
      </c>
      <c r="Z610" s="0">
        <f>IF(D610="", "", VLOOKUP(D610, DanhSachLoaiQuyetDinhRange, 2, FALSE))</f>
      </c>
      <c r="AA610" s="0">
        <f>IF(I610="", "", VLOOKUP(I610, DanhSachPhongBanRange, 2, FALSE))</f>
      </c>
      <c r="AB610" s="0">
        <f>IF(J610="", "", VLOOKUP(J610, DanhSachChucDanhRange, 2, FALSE))</f>
      </c>
      <c r="AC610" s="0">
        <f>IF(L610="", "", VLOOKUP(L610, ThangLuongData, 2, FALSE))</f>
      </c>
      <c r="AD610" s="0">
        <f>IF(M610="", "", VLOOKUP(M610, NgachLuongData, 2, FALSE))</f>
      </c>
      <c r="AE610" s="0">
        <f>IF(N610="", "", VLOOKUP(N610, BacLuongData, 2, FALSE))</f>
      </c>
      <c r="AF610" s="0">
        <f>IF(P610="", "", VLOOKUP(P610, DanhSachCodeId, 3, FALSE))</f>
      </c>
    </row>
    <row r="611">
      <c r="A611" s="0">
        <f>IF(B611="", "", VLOOKUP(B611, DanhSachCodeId, 3, FALSE))</f>
      </c>
      <c r="C611" s="0">
        <f>IF(B611="", "", VLOOKUP(B611, DanhSachNhanVien, 2, FALSE))</f>
      </c>
      <c r="Q611" s="0">
        <f>IF(P611="", "", VLOOKUP(P611, DanhSachNhanVien, 2, FALSE))</f>
      </c>
      <c r="Z611" s="0">
        <f>IF(D611="", "", VLOOKUP(D611, DanhSachLoaiQuyetDinhRange, 2, FALSE))</f>
      </c>
      <c r="AA611" s="0">
        <f>IF(I611="", "", VLOOKUP(I611, DanhSachPhongBanRange, 2, FALSE))</f>
      </c>
      <c r="AB611" s="0">
        <f>IF(J611="", "", VLOOKUP(J611, DanhSachChucDanhRange, 2, FALSE))</f>
      </c>
      <c r="AC611" s="0">
        <f>IF(L611="", "", VLOOKUP(L611, ThangLuongData, 2, FALSE))</f>
      </c>
      <c r="AD611" s="0">
        <f>IF(M611="", "", VLOOKUP(M611, NgachLuongData, 2, FALSE))</f>
      </c>
      <c r="AE611" s="0">
        <f>IF(N611="", "", VLOOKUP(N611, BacLuongData, 2, FALSE))</f>
      </c>
      <c r="AF611" s="0">
        <f>IF(P611="", "", VLOOKUP(P611, DanhSachCodeId, 3, FALSE))</f>
      </c>
    </row>
    <row r="612">
      <c r="A612" s="0">
        <f>IF(B612="", "", VLOOKUP(B612, DanhSachCodeId, 3, FALSE))</f>
      </c>
      <c r="C612" s="0">
        <f>IF(B612="", "", VLOOKUP(B612, DanhSachNhanVien, 2, FALSE))</f>
      </c>
      <c r="Q612" s="0">
        <f>IF(P612="", "", VLOOKUP(P612, DanhSachNhanVien, 2, FALSE))</f>
      </c>
      <c r="Z612" s="0">
        <f>IF(D612="", "", VLOOKUP(D612, DanhSachLoaiQuyetDinhRange, 2, FALSE))</f>
      </c>
      <c r="AA612" s="0">
        <f>IF(I612="", "", VLOOKUP(I612, DanhSachPhongBanRange, 2, FALSE))</f>
      </c>
      <c r="AB612" s="0">
        <f>IF(J612="", "", VLOOKUP(J612, DanhSachChucDanhRange, 2, FALSE))</f>
      </c>
      <c r="AC612" s="0">
        <f>IF(L612="", "", VLOOKUP(L612, ThangLuongData, 2, FALSE))</f>
      </c>
      <c r="AD612" s="0">
        <f>IF(M612="", "", VLOOKUP(M612, NgachLuongData, 2, FALSE))</f>
      </c>
      <c r="AE612" s="0">
        <f>IF(N612="", "", VLOOKUP(N612, BacLuongData, 2, FALSE))</f>
      </c>
      <c r="AF612" s="0">
        <f>IF(P612="", "", VLOOKUP(P612, DanhSachCodeId, 3, FALSE))</f>
      </c>
    </row>
    <row r="613">
      <c r="A613" s="0">
        <f>IF(B613="", "", VLOOKUP(B613, DanhSachCodeId, 3, FALSE))</f>
      </c>
      <c r="C613" s="0">
        <f>IF(B613="", "", VLOOKUP(B613, DanhSachNhanVien, 2, FALSE))</f>
      </c>
      <c r="Q613" s="0">
        <f>IF(P613="", "", VLOOKUP(P613, DanhSachNhanVien, 2, FALSE))</f>
      </c>
      <c r="Z613" s="0">
        <f>IF(D613="", "", VLOOKUP(D613, DanhSachLoaiQuyetDinhRange, 2, FALSE))</f>
      </c>
      <c r="AA613" s="0">
        <f>IF(I613="", "", VLOOKUP(I613, DanhSachPhongBanRange, 2, FALSE))</f>
      </c>
      <c r="AB613" s="0">
        <f>IF(J613="", "", VLOOKUP(J613, DanhSachChucDanhRange, 2, FALSE))</f>
      </c>
      <c r="AC613" s="0">
        <f>IF(L613="", "", VLOOKUP(L613, ThangLuongData, 2, FALSE))</f>
      </c>
      <c r="AD613" s="0">
        <f>IF(M613="", "", VLOOKUP(M613, NgachLuongData, 2, FALSE))</f>
      </c>
      <c r="AE613" s="0">
        <f>IF(N613="", "", VLOOKUP(N613, BacLuongData, 2, FALSE))</f>
      </c>
      <c r="AF613" s="0">
        <f>IF(P613="", "", VLOOKUP(P613, DanhSachCodeId, 3, FALSE))</f>
      </c>
    </row>
    <row r="614">
      <c r="A614" s="0">
        <f>IF(B614="", "", VLOOKUP(B614, DanhSachCodeId, 3, FALSE))</f>
      </c>
      <c r="C614" s="0">
        <f>IF(B614="", "", VLOOKUP(B614, DanhSachNhanVien, 2, FALSE))</f>
      </c>
      <c r="Q614" s="0">
        <f>IF(P614="", "", VLOOKUP(P614, DanhSachNhanVien, 2, FALSE))</f>
      </c>
      <c r="Z614" s="0">
        <f>IF(D614="", "", VLOOKUP(D614, DanhSachLoaiQuyetDinhRange, 2, FALSE))</f>
      </c>
      <c r="AA614" s="0">
        <f>IF(I614="", "", VLOOKUP(I614, DanhSachPhongBanRange, 2, FALSE))</f>
      </c>
      <c r="AB614" s="0">
        <f>IF(J614="", "", VLOOKUP(J614, DanhSachChucDanhRange, 2, FALSE))</f>
      </c>
      <c r="AC614" s="0">
        <f>IF(L614="", "", VLOOKUP(L614, ThangLuongData, 2, FALSE))</f>
      </c>
      <c r="AD614" s="0">
        <f>IF(M614="", "", VLOOKUP(M614, NgachLuongData, 2, FALSE))</f>
      </c>
      <c r="AE614" s="0">
        <f>IF(N614="", "", VLOOKUP(N614, BacLuongData, 2, FALSE))</f>
      </c>
      <c r="AF614" s="0">
        <f>IF(P614="", "", VLOOKUP(P614, DanhSachCodeId, 3, FALSE))</f>
      </c>
    </row>
    <row r="615">
      <c r="A615" s="0">
        <f>IF(B615="", "", VLOOKUP(B615, DanhSachCodeId, 3, FALSE))</f>
      </c>
      <c r="C615" s="0">
        <f>IF(B615="", "", VLOOKUP(B615, DanhSachNhanVien, 2, FALSE))</f>
      </c>
      <c r="Q615" s="0">
        <f>IF(P615="", "", VLOOKUP(P615, DanhSachNhanVien, 2, FALSE))</f>
      </c>
      <c r="Z615" s="0">
        <f>IF(D615="", "", VLOOKUP(D615, DanhSachLoaiQuyetDinhRange, 2, FALSE))</f>
      </c>
      <c r="AA615" s="0">
        <f>IF(I615="", "", VLOOKUP(I615, DanhSachPhongBanRange, 2, FALSE))</f>
      </c>
      <c r="AB615" s="0">
        <f>IF(J615="", "", VLOOKUP(J615, DanhSachChucDanhRange, 2, FALSE))</f>
      </c>
      <c r="AC615" s="0">
        <f>IF(L615="", "", VLOOKUP(L615, ThangLuongData, 2, FALSE))</f>
      </c>
      <c r="AD615" s="0">
        <f>IF(M615="", "", VLOOKUP(M615, NgachLuongData, 2, FALSE))</f>
      </c>
      <c r="AE615" s="0">
        <f>IF(N615="", "", VLOOKUP(N615, BacLuongData, 2, FALSE))</f>
      </c>
      <c r="AF615" s="0">
        <f>IF(P615="", "", VLOOKUP(P615, DanhSachCodeId, 3, FALSE))</f>
      </c>
    </row>
    <row r="616">
      <c r="A616" s="0">
        <f>IF(B616="", "", VLOOKUP(B616, DanhSachCodeId, 3, FALSE))</f>
      </c>
      <c r="C616" s="0">
        <f>IF(B616="", "", VLOOKUP(B616, DanhSachNhanVien, 2, FALSE))</f>
      </c>
      <c r="Q616" s="0">
        <f>IF(P616="", "", VLOOKUP(P616, DanhSachNhanVien, 2, FALSE))</f>
      </c>
      <c r="Z616" s="0">
        <f>IF(D616="", "", VLOOKUP(D616, DanhSachLoaiQuyetDinhRange, 2, FALSE))</f>
      </c>
      <c r="AA616" s="0">
        <f>IF(I616="", "", VLOOKUP(I616, DanhSachPhongBanRange, 2, FALSE))</f>
      </c>
      <c r="AB616" s="0">
        <f>IF(J616="", "", VLOOKUP(J616, DanhSachChucDanhRange, 2, FALSE))</f>
      </c>
      <c r="AC616" s="0">
        <f>IF(L616="", "", VLOOKUP(L616, ThangLuongData, 2, FALSE))</f>
      </c>
      <c r="AD616" s="0">
        <f>IF(M616="", "", VLOOKUP(M616, NgachLuongData, 2, FALSE))</f>
      </c>
      <c r="AE616" s="0">
        <f>IF(N616="", "", VLOOKUP(N616, BacLuongData, 2, FALSE))</f>
      </c>
      <c r="AF616" s="0">
        <f>IF(P616="", "", VLOOKUP(P616, DanhSachCodeId, 3, FALSE))</f>
      </c>
    </row>
    <row r="617">
      <c r="A617" s="0">
        <f>IF(B617="", "", VLOOKUP(B617, DanhSachCodeId, 3, FALSE))</f>
      </c>
      <c r="C617" s="0">
        <f>IF(B617="", "", VLOOKUP(B617, DanhSachNhanVien, 2, FALSE))</f>
      </c>
      <c r="Q617" s="0">
        <f>IF(P617="", "", VLOOKUP(P617, DanhSachNhanVien, 2, FALSE))</f>
      </c>
      <c r="Z617" s="0">
        <f>IF(D617="", "", VLOOKUP(D617, DanhSachLoaiQuyetDinhRange, 2, FALSE))</f>
      </c>
      <c r="AA617" s="0">
        <f>IF(I617="", "", VLOOKUP(I617, DanhSachPhongBanRange, 2, FALSE))</f>
      </c>
      <c r="AB617" s="0">
        <f>IF(J617="", "", VLOOKUP(J617, DanhSachChucDanhRange, 2, FALSE))</f>
      </c>
      <c r="AC617" s="0">
        <f>IF(L617="", "", VLOOKUP(L617, ThangLuongData, 2, FALSE))</f>
      </c>
      <c r="AD617" s="0">
        <f>IF(M617="", "", VLOOKUP(M617, NgachLuongData, 2, FALSE))</f>
      </c>
      <c r="AE617" s="0">
        <f>IF(N617="", "", VLOOKUP(N617, BacLuongData, 2, FALSE))</f>
      </c>
      <c r="AF617" s="0">
        <f>IF(P617="", "", VLOOKUP(P617, DanhSachCodeId, 3, FALSE))</f>
      </c>
    </row>
    <row r="618">
      <c r="A618" s="0">
        <f>IF(B618="", "", VLOOKUP(B618, DanhSachCodeId, 3, FALSE))</f>
      </c>
      <c r="C618" s="0">
        <f>IF(B618="", "", VLOOKUP(B618, DanhSachNhanVien, 2, FALSE))</f>
      </c>
      <c r="Q618" s="0">
        <f>IF(P618="", "", VLOOKUP(P618, DanhSachNhanVien, 2, FALSE))</f>
      </c>
      <c r="Z618" s="0">
        <f>IF(D618="", "", VLOOKUP(D618, DanhSachLoaiQuyetDinhRange, 2, FALSE))</f>
      </c>
      <c r="AA618" s="0">
        <f>IF(I618="", "", VLOOKUP(I618, DanhSachPhongBanRange, 2, FALSE))</f>
      </c>
      <c r="AB618" s="0">
        <f>IF(J618="", "", VLOOKUP(J618, DanhSachChucDanhRange, 2, FALSE))</f>
      </c>
      <c r="AC618" s="0">
        <f>IF(L618="", "", VLOOKUP(L618, ThangLuongData, 2, FALSE))</f>
      </c>
      <c r="AD618" s="0">
        <f>IF(M618="", "", VLOOKUP(M618, NgachLuongData, 2, FALSE))</f>
      </c>
      <c r="AE618" s="0">
        <f>IF(N618="", "", VLOOKUP(N618, BacLuongData, 2, FALSE))</f>
      </c>
      <c r="AF618" s="0">
        <f>IF(P618="", "", VLOOKUP(P618, DanhSachCodeId, 3, FALSE))</f>
      </c>
    </row>
    <row r="619">
      <c r="A619" s="0">
        <f>IF(B619="", "", VLOOKUP(B619, DanhSachCodeId, 3, FALSE))</f>
      </c>
      <c r="C619" s="0">
        <f>IF(B619="", "", VLOOKUP(B619, DanhSachNhanVien, 2, FALSE))</f>
      </c>
      <c r="Q619" s="0">
        <f>IF(P619="", "", VLOOKUP(P619, DanhSachNhanVien, 2, FALSE))</f>
      </c>
      <c r="Z619" s="0">
        <f>IF(D619="", "", VLOOKUP(D619, DanhSachLoaiQuyetDinhRange, 2, FALSE))</f>
      </c>
      <c r="AA619" s="0">
        <f>IF(I619="", "", VLOOKUP(I619, DanhSachPhongBanRange, 2, FALSE))</f>
      </c>
      <c r="AB619" s="0">
        <f>IF(J619="", "", VLOOKUP(J619, DanhSachChucDanhRange, 2, FALSE))</f>
      </c>
      <c r="AC619" s="0">
        <f>IF(L619="", "", VLOOKUP(L619, ThangLuongData, 2, FALSE))</f>
      </c>
      <c r="AD619" s="0">
        <f>IF(M619="", "", VLOOKUP(M619, NgachLuongData, 2, FALSE))</f>
      </c>
      <c r="AE619" s="0">
        <f>IF(N619="", "", VLOOKUP(N619, BacLuongData, 2, FALSE))</f>
      </c>
      <c r="AF619" s="0">
        <f>IF(P619="", "", VLOOKUP(P619, DanhSachCodeId, 3, FALSE))</f>
      </c>
    </row>
    <row r="620">
      <c r="A620" s="0">
        <f>IF(B620="", "", VLOOKUP(B620, DanhSachCodeId, 3, FALSE))</f>
      </c>
      <c r="C620" s="0">
        <f>IF(B620="", "", VLOOKUP(B620, DanhSachNhanVien, 2, FALSE))</f>
      </c>
      <c r="Q620" s="0">
        <f>IF(P620="", "", VLOOKUP(P620, DanhSachNhanVien, 2, FALSE))</f>
      </c>
      <c r="Z620" s="0">
        <f>IF(D620="", "", VLOOKUP(D620, DanhSachLoaiQuyetDinhRange, 2, FALSE))</f>
      </c>
      <c r="AA620" s="0">
        <f>IF(I620="", "", VLOOKUP(I620, DanhSachPhongBanRange, 2, FALSE))</f>
      </c>
      <c r="AB620" s="0">
        <f>IF(J620="", "", VLOOKUP(J620, DanhSachChucDanhRange, 2, FALSE))</f>
      </c>
      <c r="AC620" s="0">
        <f>IF(L620="", "", VLOOKUP(L620, ThangLuongData, 2, FALSE))</f>
      </c>
      <c r="AD620" s="0">
        <f>IF(M620="", "", VLOOKUP(M620, NgachLuongData, 2, FALSE))</f>
      </c>
      <c r="AE620" s="0">
        <f>IF(N620="", "", VLOOKUP(N620, BacLuongData, 2, FALSE))</f>
      </c>
      <c r="AF620" s="0">
        <f>IF(P620="", "", VLOOKUP(P620, DanhSachCodeId, 3, FALSE))</f>
      </c>
    </row>
    <row r="621">
      <c r="A621" s="0">
        <f>IF(B621="", "", VLOOKUP(B621, DanhSachCodeId, 3, FALSE))</f>
      </c>
      <c r="C621" s="0">
        <f>IF(B621="", "", VLOOKUP(B621, DanhSachNhanVien, 2, FALSE))</f>
      </c>
      <c r="Q621" s="0">
        <f>IF(P621="", "", VLOOKUP(P621, DanhSachNhanVien, 2, FALSE))</f>
      </c>
      <c r="Z621" s="0">
        <f>IF(D621="", "", VLOOKUP(D621, DanhSachLoaiQuyetDinhRange, 2, FALSE))</f>
      </c>
      <c r="AA621" s="0">
        <f>IF(I621="", "", VLOOKUP(I621, DanhSachPhongBanRange, 2, FALSE))</f>
      </c>
      <c r="AB621" s="0">
        <f>IF(J621="", "", VLOOKUP(J621, DanhSachChucDanhRange, 2, FALSE))</f>
      </c>
      <c r="AC621" s="0">
        <f>IF(L621="", "", VLOOKUP(L621, ThangLuongData, 2, FALSE))</f>
      </c>
      <c r="AD621" s="0">
        <f>IF(M621="", "", VLOOKUP(M621, NgachLuongData, 2, FALSE))</f>
      </c>
      <c r="AE621" s="0">
        <f>IF(N621="", "", VLOOKUP(N621, BacLuongData, 2, FALSE))</f>
      </c>
      <c r="AF621" s="0">
        <f>IF(P621="", "", VLOOKUP(P621, DanhSachCodeId, 3, FALSE))</f>
      </c>
    </row>
    <row r="622">
      <c r="A622" s="0">
        <f>IF(B622="", "", VLOOKUP(B622, DanhSachCodeId, 3, FALSE))</f>
      </c>
      <c r="C622" s="0">
        <f>IF(B622="", "", VLOOKUP(B622, DanhSachNhanVien, 2, FALSE))</f>
      </c>
      <c r="Q622" s="0">
        <f>IF(P622="", "", VLOOKUP(P622, DanhSachNhanVien, 2, FALSE))</f>
      </c>
      <c r="Z622" s="0">
        <f>IF(D622="", "", VLOOKUP(D622, DanhSachLoaiQuyetDinhRange, 2, FALSE))</f>
      </c>
      <c r="AA622" s="0">
        <f>IF(I622="", "", VLOOKUP(I622, DanhSachPhongBanRange, 2, FALSE))</f>
      </c>
      <c r="AB622" s="0">
        <f>IF(J622="", "", VLOOKUP(J622, DanhSachChucDanhRange, 2, FALSE))</f>
      </c>
      <c r="AC622" s="0">
        <f>IF(L622="", "", VLOOKUP(L622, ThangLuongData, 2, FALSE))</f>
      </c>
      <c r="AD622" s="0">
        <f>IF(M622="", "", VLOOKUP(M622, NgachLuongData, 2, FALSE))</f>
      </c>
      <c r="AE622" s="0">
        <f>IF(N622="", "", VLOOKUP(N622, BacLuongData, 2, FALSE))</f>
      </c>
      <c r="AF622" s="0">
        <f>IF(P622="", "", VLOOKUP(P622, DanhSachCodeId, 3, FALSE))</f>
      </c>
    </row>
    <row r="623">
      <c r="A623" s="0">
        <f>IF(B623="", "", VLOOKUP(B623, DanhSachCodeId, 3, FALSE))</f>
      </c>
      <c r="C623" s="0">
        <f>IF(B623="", "", VLOOKUP(B623, DanhSachNhanVien, 2, FALSE))</f>
      </c>
      <c r="Q623" s="0">
        <f>IF(P623="", "", VLOOKUP(P623, DanhSachNhanVien, 2, FALSE))</f>
      </c>
      <c r="Z623" s="0">
        <f>IF(D623="", "", VLOOKUP(D623, DanhSachLoaiQuyetDinhRange, 2, FALSE))</f>
      </c>
      <c r="AA623" s="0">
        <f>IF(I623="", "", VLOOKUP(I623, DanhSachPhongBanRange, 2, FALSE))</f>
      </c>
      <c r="AB623" s="0">
        <f>IF(J623="", "", VLOOKUP(J623, DanhSachChucDanhRange, 2, FALSE))</f>
      </c>
      <c r="AC623" s="0">
        <f>IF(L623="", "", VLOOKUP(L623, ThangLuongData, 2, FALSE))</f>
      </c>
      <c r="AD623" s="0">
        <f>IF(M623="", "", VLOOKUP(M623, NgachLuongData, 2, FALSE))</f>
      </c>
      <c r="AE623" s="0">
        <f>IF(N623="", "", VLOOKUP(N623, BacLuongData, 2, FALSE))</f>
      </c>
      <c r="AF623" s="0">
        <f>IF(P623="", "", VLOOKUP(P623, DanhSachCodeId, 3, FALSE))</f>
      </c>
    </row>
    <row r="624">
      <c r="A624" s="0">
        <f>IF(B624="", "", VLOOKUP(B624, DanhSachCodeId, 3, FALSE))</f>
      </c>
      <c r="C624" s="0">
        <f>IF(B624="", "", VLOOKUP(B624, DanhSachNhanVien, 2, FALSE))</f>
      </c>
      <c r="Q624" s="0">
        <f>IF(P624="", "", VLOOKUP(P624, DanhSachNhanVien, 2, FALSE))</f>
      </c>
      <c r="Z624" s="0">
        <f>IF(D624="", "", VLOOKUP(D624, DanhSachLoaiQuyetDinhRange, 2, FALSE))</f>
      </c>
      <c r="AA624" s="0">
        <f>IF(I624="", "", VLOOKUP(I624, DanhSachPhongBanRange, 2, FALSE))</f>
      </c>
      <c r="AB624" s="0">
        <f>IF(J624="", "", VLOOKUP(J624, DanhSachChucDanhRange, 2, FALSE))</f>
      </c>
      <c r="AC624" s="0">
        <f>IF(L624="", "", VLOOKUP(L624, ThangLuongData, 2, FALSE))</f>
      </c>
      <c r="AD624" s="0">
        <f>IF(M624="", "", VLOOKUP(M624, NgachLuongData, 2, FALSE))</f>
      </c>
      <c r="AE624" s="0">
        <f>IF(N624="", "", VLOOKUP(N624, BacLuongData, 2, FALSE))</f>
      </c>
      <c r="AF624" s="0">
        <f>IF(P624="", "", VLOOKUP(P624, DanhSachCodeId, 3, FALSE))</f>
      </c>
    </row>
    <row r="625">
      <c r="A625" s="0">
        <f>IF(B625="", "", VLOOKUP(B625, DanhSachCodeId, 3, FALSE))</f>
      </c>
      <c r="C625" s="0">
        <f>IF(B625="", "", VLOOKUP(B625, DanhSachNhanVien, 2, FALSE))</f>
      </c>
      <c r="Q625" s="0">
        <f>IF(P625="", "", VLOOKUP(P625, DanhSachNhanVien, 2, FALSE))</f>
      </c>
      <c r="Z625" s="0">
        <f>IF(D625="", "", VLOOKUP(D625, DanhSachLoaiQuyetDinhRange, 2, FALSE))</f>
      </c>
      <c r="AA625" s="0">
        <f>IF(I625="", "", VLOOKUP(I625, DanhSachPhongBanRange, 2, FALSE))</f>
      </c>
      <c r="AB625" s="0">
        <f>IF(J625="", "", VLOOKUP(J625, DanhSachChucDanhRange, 2, FALSE))</f>
      </c>
      <c r="AC625" s="0">
        <f>IF(L625="", "", VLOOKUP(L625, ThangLuongData, 2, FALSE))</f>
      </c>
      <c r="AD625" s="0">
        <f>IF(M625="", "", VLOOKUP(M625, NgachLuongData, 2, FALSE))</f>
      </c>
      <c r="AE625" s="0">
        <f>IF(N625="", "", VLOOKUP(N625, BacLuongData, 2, FALSE))</f>
      </c>
      <c r="AF625" s="0">
        <f>IF(P625="", "", VLOOKUP(P625, DanhSachCodeId, 3, FALSE))</f>
      </c>
    </row>
    <row r="626">
      <c r="A626" s="0">
        <f>IF(B626="", "", VLOOKUP(B626, DanhSachCodeId, 3, FALSE))</f>
      </c>
      <c r="C626" s="0">
        <f>IF(B626="", "", VLOOKUP(B626, DanhSachNhanVien, 2, FALSE))</f>
      </c>
      <c r="Q626" s="0">
        <f>IF(P626="", "", VLOOKUP(P626, DanhSachNhanVien, 2, FALSE))</f>
      </c>
      <c r="Z626" s="0">
        <f>IF(D626="", "", VLOOKUP(D626, DanhSachLoaiQuyetDinhRange, 2, FALSE))</f>
      </c>
      <c r="AA626" s="0">
        <f>IF(I626="", "", VLOOKUP(I626, DanhSachPhongBanRange, 2, FALSE))</f>
      </c>
      <c r="AB626" s="0">
        <f>IF(J626="", "", VLOOKUP(J626, DanhSachChucDanhRange, 2, FALSE))</f>
      </c>
      <c r="AC626" s="0">
        <f>IF(L626="", "", VLOOKUP(L626, ThangLuongData, 2, FALSE))</f>
      </c>
      <c r="AD626" s="0">
        <f>IF(M626="", "", VLOOKUP(M626, NgachLuongData, 2, FALSE))</f>
      </c>
      <c r="AE626" s="0">
        <f>IF(N626="", "", VLOOKUP(N626, BacLuongData, 2, FALSE))</f>
      </c>
      <c r="AF626" s="0">
        <f>IF(P626="", "", VLOOKUP(P626, DanhSachCodeId, 3, FALSE))</f>
      </c>
    </row>
    <row r="627">
      <c r="A627" s="0">
        <f>IF(B627="", "", VLOOKUP(B627, DanhSachCodeId, 3, FALSE))</f>
      </c>
      <c r="C627" s="0">
        <f>IF(B627="", "", VLOOKUP(B627, DanhSachNhanVien, 2, FALSE))</f>
      </c>
      <c r="Q627" s="0">
        <f>IF(P627="", "", VLOOKUP(P627, DanhSachNhanVien, 2, FALSE))</f>
      </c>
      <c r="Z627" s="0">
        <f>IF(D627="", "", VLOOKUP(D627, DanhSachLoaiQuyetDinhRange, 2, FALSE))</f>
      </c>
      <c r="AA627" s="0">
        <f>IF(I627="", "", VLOOKUP(I627, DanhSachPhongBanRange, 2, FALSE))</f>
      </c>
      <c r="AB627" s="0">
        <f>IF(J627="", "", VLOOKUP(J627, DanhSachChucDanhRange, 2, FALSE))</f>
      </c>
      <c r="AC627" s="0">
        <f>IF(L627="", "", VLOOKUP(L627, ThangLuongData, 2, FALSE))</f>
      </c>
      <c r="AD627" s="0">
        <f>IF(M627="", "", VLOOKUP(M627, NgachLuongData, 2, FALSE))</f>
      </c>
      <c r="AE627" s="0">
        <f>IF(N627="", "", VLOOKUP(N627, BacLuongData, 2, FALSE))</f>
      </c>
      <c r="AF627" s="0">
        <f>IF(P627="", "", VLOOKUP(P627, DanhSachCodeId, 3, FALSE))</f>
      </c>
    </row>
    <row r="628">
      <c r="A628" s="0">
        <f>IF(B628="", "", VLOOKUP(B628, DanhSachCodeId, 3, FALSE))</f>
      </c>
      <c r="C628" s="0">
        <f>IF(B628="", "", VLOOKUP(B628, DanhSachNhanVien, 2, FALSE))</f>
      </c>
      <c r="Q628" s="0">
        <f>IF(P628="", "", VLOOKUP(P628, DanhSachNhanVien, 2, FALSE))</f>
      </c>
      <c r="Z628" s="0">
        <f>IF(D628="", "", VLOOKUP(D628, DanhSachLoaiQuyetDinhRange, 2, FALSE))</f>
      </c>
      <c r="AA628" s="0">
        <f>IF(I628="", "", VLOOKUP(I628, DanhSachPhongBanRange, 2, FALSE))</f>
      </c>
      <c r="AB628" s="0">
        <f>IF(J628="", "", VLOOKUP(J628, DanhSachChucDanhRange, 2, FALSE))</f>
      </c>
      <c r="AC628" s="0">
        <f>IF(L628="", "", VLOOKUP(L628, ThangLuongData, 2, FALSE))</f>
      </c>
      <c r="AD628" s="0">
        <f>IF(M628="", "", VLOOKUP(M628, NgachLuongData, 2, FALSE))</f>
      </c>
      <c r="AE628" s="0">
        <f>IF(N628="", "", VLOOKUP(N628, BacLuongData, 2, FALSE))</f>
      </c>
      <c r="AF628" s="0">
        <f>IF(P628="", "", VLOOKUP(P628, DanhSachCodeId, 3, FALSE))</f>
      </c>
    </row>
    <row r="629">
      <c r="A629" s="0">
        <f>IF(B629="", "", VLOOKUP(B629, DanhSachCodeId, 3, FALSE))</f>
      </c>
      <c r="C629" s="0">
        <f>IF(B629="", "", VLOOKUP(B629, DanhSachNhanVien, 2, FALSE))</f>
      </c>
      <c r="Q629" s="0">
        <f>IF(P629="", "", VLOOKUP(P629, DanhSachNhanVien, 2, FALSE))</f>
      </c>
      <c r="Z629" s="0">
        <f>IF(D629="", "", VLOOKUP(D629, DanhSachLoaiQuyetDinhRange, 2, FALSE))</f>
      </c>
      <c r="AA629" s="0">
        <f>IF(I629="", "", VLOOKUP(I629, DanhSachPhongBanRange, 2, FALSE))</f>
      </c>
      <c r="AB629" s="0">
        <f>IF(J629="", "", VLOOKUP(J629, DanhSachChucDanhRange, 2, FALSE))</f>
      </c>
      <c r="AC629" s="0">
        <f>IF(L629="", "", VLOOKUP(L629, ThangLuongData, 2, FALSE))</f>
      </c>
      <c r="AD629" s="0">
        <f>IF(M629="", "", VLOOKUP(M629, NgachLuongData, 2, FALSE))</f>
      </c>
      <c r="AE629" s="0">
        <f>IF(N629="", "", VLOOKUP(N629, BacLuongData, 2, FALSE))</f>
      </c>
      <c r="AF629" s="0">
        <f>IF(P629="", "", VLOOKUP(P629, DanhSachCodeId, 3, FALSE))</f>
      </c>
    </row>
    <row r="630">
      <c r="A630" s="0">
        <f>IF(B630="", "", VLOOKUP(B630, DanhSachCodeId, 3, FALSE))</f>
      </c>
      <c r="C630" s="0">
        <f>IF(B630="", "", VLOOKUP(B630, DanhSachNhanVien, 2, FALSE))</f>
      </c>
      <c r="Q630" s="0">
        <f>IF(P630="", "", VLOOKUP(P630, DanhSachNhanVien, 2, FALSE))</f>
      </c>
      <c r="Z630" s="0">
        <f>IF(D630="", "", VLOOKUP(D630, DanhSachLoaiQuyetDinhRange, 2, FALSE))</f>
      </c>
      <c r="AA630" s="0">
        <f>IF(I630="", "", VLOOKUP(I630, DanhSachPhongBanRange, 2, FALSE))</f>
      </c>
      <c r="AB630" s="0">
        <f>IF(J630="", "", VLOOKUP(J630, DanhSachChucDanhRange, 2, FALSE))</f>
      </c>
      <c r="AC630" s="0">
        <f>IF(L630="", "", VLOOKUP(L630, ThangLuongData, 2, FALSE))</f>
      </c>
      <c r="AD630" s="0">
        <f>IF(M630="", "", VLOOKUP(M630, NgachLuongData, 2, FALSE))</f>
      </c>
      <c r="AE630" s="0">
        <f>IF(N630="", "", VLOOKUP(N630, BacLuongData, 2, FALSE))</f>
      </c>
      <c r="AF630" s="0">
        <f>IF(P630="", "", VLOOKUP(P630, DanhSachCodeId, 3, FALSE))</f>
      </c>
    </row>
    <row r="631">
      <c r="A631" s="0">
        <f>IF(B631="", "", VLOOKUP(B631, DanhSachCodeId, 3, FALSE))</f>
      </c>
      <c r="C631" s="0">
        <f>IF(B631="", "", VLOOKUP(B631, DanhSachNhanVien, 2, FALSE))</f>
      </c>
      <c r="Q631" s="0">
        <f>IF(P631="", "", VLOOKUP(P631, DanhSachNhanVien, 2, FALSE))</f>
      </c>
      <c r="Z631" s="0">
        <f>IF(D631="", "", VLOOKUP(D631, DanhSachLoaiQuyetDinhRange, 2, FALSE))</f>
      </c>
      <c r="AA631" s="0">
        <f>IF(I631="", "", VLOOKUP(I631, DanhSachPhongBanRange, 2, FALSE))</f>
      </c>
      <c r="AB631" s="0">
        <f>IF(J631="", "", VLOOKUP(J631, DanhSachChucDanhRange, 2, FALSE))</f>
      </c>
      <c r="AC631" s="0">
        <f>IF(L631="", "", VLOOKUP(L631, ThangLuongData, 2, FALSE))</f>
      </c>
      <c r="AD631" s="0">
        <f>IF(M631="", "", VLOOKUP(M631, NgachLuongData, 2, FALSE))</f>
      </c>
      <c r="AE631" s="0">
        <f>IF(N631="", "", VLOOKUP(N631, BacLuongData, 2, FALSE))</f>
      </c>
      <c r="AF631" s="0">
        <f>IF(P631="", "", VLOOKUP(P631, DanhSachCodeId, 3, FALSE))</f>
      </c>
    </row>
    <row r="632">
      <c r="A632" s="0">
        <f>IF(B632="", "", VLOOKUP(B632, DanhSachCodeId, 3, FALSE))</f>
      </c>
      <c r="C632" s="0">
        <f>IF(B632="", "", VLOOKUP(B632, DanhSachNhanVien, 2, FALSE))</f>
      </c>
      <c r="Q632" s="0">
        <f>IF(P632="", "", VLOOKUP(P632, DanhSachNhanVien, 2, FALSE))</f>
      </c>
      <c r="Z632" s="0">
        <f>IF(D632="", "", VLOOKUP(D632, DanhSachLoaiQuyetDinhRange, 2, FALSE))</f>
      </c>
      <c r="AA632" s="0">
        <f>IF(I632="", "", VLOOKUP(I632, DanhSachPhongBanRange, 2, FALSE))</f>
      </c>
      <c r="AB632" s="0">
        <f>IF(J632="", "", VLOOKUP(J632, DanhSachChucDanhRange, 2, FALSE))</f>
      </c>
      <c r="AC632" s="0">
        <f>IF(L632="", "", VLOOKUP(L632, ThangLuongData, 2, FALSE))</f>
      </c>
      <c r="AD632" s="0">
        <f>IF(M632="", "", VLOOKUP(M632, NgachLuongData, 2, FALSE))</f>
      </c>
      <c r="AE632" s="0">
        <f>IF(N632="", "", VLOOKUP(N632, BacLuongData, 2, FALSE))</f>
      </c>
      <c r="AF632" s="0">
        <f>IF(P632="", "", VLOOKUP(P632, DanhSachCodeId, 3, FALSE))</f>
      </c>
    </row>
    <row r="633">
      <c r="A633" s="0">
        <f>IF(B633="", "", VLOOKUP(B633, DanhSachCodeId, 3, FALSE))</f>
      </c>
      <c r="C633" s="0">
        <f>IF(B633="", "", VLOOKUP(B633, DanhSachNhanVien, 2, FALSE))</f>
      </c>
      <c r="Q633" s="0">
        <f>IF(P633="", "", VLOOKUP(P633, DanhSachNhanVien, 2, FALSE))</f>
      </c>
      <c r="Z633" s="0">
        <f>IF(D633="", "", VLOOKUP(D633, DanhSachLoaiQuyetDinhRange, 2, FALSE))</f>
      </c>
      <c r="AA633" s="0">
        <f>IF(I633="", "", VLOOKUP(I633, DanhSachPhongBanRange, 2, FALSE))</f>
      </c>
      <c r="AB633" s="0">
        <f>IF(J633="", "", VLOOKUP(J633, DanhSachChucDanhRange, 2, FALSE))</f>
      </c>
      <c r="AC633" s="0">
        <f>IF(L633="", "", VLOOKUP(L633, ThangLuongData, 2, FALSE))</f>
      </c>
      <c r="AD633" s="0">
        <f>IF(M633="", "", VLOOKUP(M633, NgachLuongData, 2, FALSE))</f>
      </c>
      <c r="AE633" s="0">
        <f>IF(N633="", "", VLOOKUP(N633, BacLuongData, 2, FALSE))</f>
      </c>
      <c r="AF633" s="0">
        <f>IF(P633="", "", VLOOKUP(P633, DanhSachCodeId, 3, FALSE))</f>
      </c>
    </row>
    <row r="634">
      <c r="A634" s="0">
        <f>IF(B634="", "", VLOOKUP(B634, DanhSachCodeId, 3, FALSE))</f>
      </c>
      <c r="C634" s="0">
        <f>IF(B634="", "", VLOOKUP(B634, DanhSachNhanVien, 2, FALSE))</f>
      </c>
      <c r="Q634" s="0">
        <f>IF(P634="", "", VLOOKUP(P634, DanhSachNhanVien, 2, FALSE))</f>
      </c>
      <c r="Z634" s="0">
        <f>IF(D634="", "", VLOOKUP(D634, DanhSachLoaiQuyetDinhRange, 2, FALSE))</f>
      </c>
      <c r="AA634" s="0">
        <f>IF(I634="", "", VLOOKUP(I634, DanhSachPhongBanRange, 2, FALSE))</f>
      </c>
      <c r="AB634" s="0">
        <f>IF(J634="", "", VLOOKUP(J634, DanhSachChucDanhRange, 2, FALSE))</f>
      </c>
      <c r="AC634" s="0">
        <f>IF(L634="", "", VLOOKUP(L634, ThangLuongData, 2, FALSE))</f>
      </c>
      <c r="AD634" s="0">
        <f>IF(M634="", "", VLOOKUP(M634, NgachLuongData, 2, FALSE))</f>
      </c>
      <c r="AE634" s="0">
        <f>IF(N634="", "", VLOOKUP(N634, BacLuongData, 2, FALSE))</f>
      </c>
      <c r="AF634" s="0">
        <f>IF(P634="", "", VLOOKUP(P634, DanhSachCodeId, 3, FALSE))</f>
      </c>
    </row>
    <row r="635">
      <c r="A635" s="0">
        <f>IF(B635="", "", VLOOKUP(B635, DanhSachCodeId, 3, FALSE))</f>
      </c>
      <c r="C635" s="0">
        <f>IF(B635="", "", VLOOKUP(B635, DanhSachNhanVien, 2, FALSE))</f>
      </c>
      <c r="Q635" s="0">
        <f>IF(P635="", "", VLOOKUP(P635, DanhSachNhanVien, 2, FALSE))</f>
      </c>
      <c r="Z635" s="0">
        <f>IF(D635="", "", VLOOKUP(D635, DanhSachLoaiQuyetDinhRange, 2, FALSE))</f>
      </c>
      <c r="AA635" s="0">
        <f>IF(I635="", "", VLOOKUP(I635, DanhSachPhongBanRange, 2, FALSE))</f>
      </c>
      <c r="AB635" s="0">
        <f>IF(J635="", "", VLOOKUP(J635, DanhSachChucDanhRange, 2, FALSE))</f>
      </c>
      <c r="AC635" s="0">
        <f>IF(L635="", "", VLOOKUP(L635, ThangLuongData, 2, FALSE))</f>
      </c>
      <c r="AD635" s="0">
        <f>IF(M635="", "", VLOOKUP(M635, NgachLuongData, 2, FALSE))</f>
      </c>
      <c r="AE635" s="0">
        <f>IF(N635="", "", VLOOKUP(N635, BacLuongData, 2, FALSE))</f>
      </c>
      <c r="AF635" s="0">
        <f>IF(P635="", "", VLOOKUP(P635, DanhSachCodeId, 3, FALSE))</f>
      </c>
    </row>
    <row r="636">
      <c r="A636" s="0">
        <f>IF(B636="", "", VLOOKUP(B636, DanhSachCodeId, 3, FALSE))</f>
      </c>
      <c r="C636" s="0">
        <f>IF(B636="", "", VLOOKUP(B636, DanhSachNhanVien, 2, FALSE))</f>
      </c>
      <c r="Q636" s="0">
        <f>IF(P636="", "", VLOOKUP(P636, DanhSachNhanVien, 2, FALSE))</f>
      </c>
      <c r="Z636" s="0">
        <f>IF(D636="", "", VLOOKUP(D636, DanhSachLoaiQuyetDinhRange, 2, FALSE))</f>
      </c>
      <c r="AA636" s="0">
        <f>IF(I636="", "", VLOOKUP(I636, DanhSachPhongBanRange, 2, FALSE))</f>
      </c>
      <c r="AB636" s="0">
        <f>IF(J636="", "", VLOOKUP(J636, DanhSachChucDanhRange, 2, FALSE))</f>
      </c>
      <c r="AC636" s="0">
        <f>IF(L636="", "", VLOOKUP(L636, ThangLuongData, 2, FALSE))</f>
      </c>
      <c r="AD636" s="0">
        <f>IF(M636="", "", VLOOKUP(M636, NgachLuongData, 2, FALSE))</f>
      </c>
      <c r="AE636" s="0">
        <f>IF(N636="", "", VLOOKUP(N636, BacLuongData, 2, FALSE))</f>
      </c>
      <c r="AF636" s="0">
        <f>IF(P636="", "", VLOOKUP(P636, DanhSachCodeId, 3, FALSE))</f>
      </c>
    </row>
    <row r="637">
      <c r="A637" s="0">
        <f>IF(B637="", "", VLOOKUP(B637, DanhSachCodeId, 3, FALSE))</f>
      </c>
      <c r="C637" s="0">
        <f>IF(B637="", "", VLOOKUP(B637, DanhSachNhanVien, 2, FALSE))</f>
      </c>
      <c r="Q637" s="0">
        <f>IF(P637="", "", VLOOKUP(P637, DanhSachNhanVien, 2, FALSE))</f>
      </c>
      <c r="Z637" s="0">
        <f>IF(D637="", "", VLOOKUP(D637, DanhSachLoaiQuyetDinhRange, 2, FALSE))</f>
      </c>
      <c r="AA637" s="0">
        <f>IF(I637="", "", VLOOKUP(I637, DanhSachPhongBanRange, 2, FALSE))</f>
      </c>
      <c r="AB637" s="0">
        <f>IF(J637="", "", VLOOKUP(J637, DanhSachChucDanhRange, 2, FALSE))</f>
      </c>
      <c r="AC637" s="0">
        <f>IF(L637="", "", VLOOKUP(L637, ThangLuongData, 2, FALSE))</f>
      </c>
      <c r="AD637" s="0">
        <f>IF(M637="", "", VLOOKUP(M637, NgachLuongData, 2, FALSE))</f>
      </c>
      <c r="AE637" s="0">
        <f>IF(N637="", "", VLOOKUP(N637, BacLuongData, 2, FALSE))</f>
      </c>
      <c r="AF637" s="0">
        <f>IF(P637="", "", VLOOKUP(P637, DanhSachCodeId, 3, FALSE))</f>
      </c>
    </row>
    <row r="638">
      <c r="A638" s="0">
        <f>IF(B638="", "", VLOOKUP(B638, DanhSachCodeId, 3, FALSE))</f>
      </c>
      <c r="C638" s="0">
        <f>IF(B638="", "", VLOOKUP(B638, DanhSachNhanVien, 2, FALSE))</f>
      </c>
      <c r="Q638" s="0">
        <f>IF(P638="", "", VLOOKUP(P638, DanhSachNhanVien, 2, FALSE))</f>
      </c>
      <c r="Z638" s="0">
        <f>IF(D638="", "", VLOOKUP(D638, DanhSachLoaiQuyetDinhRange, 2, FALSE))</f>
      </c>
      <c r="AA638" s="0">
        <f>IF(I638="", "", VLOOKUP(I638, DanhSachPhongBanRange, 2, FALSE))</f>
      </c>
      <c r="AB638" s="0">
        <f>IF(J638="", "", VLOOKUP(J638, DanhSachChucDanhRange, 2, FALSE))</f>
      </c>
      <c r="AC638" s="0">
        <f>IF(L638="", "", VLOOKUP(L638, ThangLuongData, 2, FALSE))</f>
      </c>
      <c r="AD638" s="0">
        <f>IF(M638="", "", VLOOKUP(M638, NgachLuongData, 2, FALSE))</f>
      </c>
      <c r="AE638" s="0">
        <f>IF(N638="", "", VLOOKUP(N638, BacLuongData, 2, FALSE))</f>
      </c>
      <c r="AF638" s="0">
        <f>IF(P638="", "", VLOOKUP(P638, DanhSachCodeId, 3, FALSE))</f>
      </c>
    </row>
    <row r="639">
      <c r="A639" s="0">
        <f>IF(B639="", "", VLOOKUP(B639, DanhSachCodeId, 3, FALSE))</f>
      </c>
      <c r="C639" s="0">
        <f>IF(B639="", "", VLOOKUP(B639, DanhSachNhanVien, 2, FALSE))</f>
      </c>
      <c r="Q639" s="0">
        <f>IF(P639="", "", VLOOKUP(P639, DanhSachNhanVien, 2, FALSE))</f>
      </c>
      <c r="Z639" s="0">
        <f>IF(D639="", "", VLOOKUP(D639, DanhSachLoaiQuyetDinhRange, 2, FALSE))</f>
      </c>
      <c r="AA639" s="0">
        <f>IF(I639="", "", VLOOKUP(I639, DanhSachPhongBanRange, 2, FALSE))</f>
      </c>
      <c r="AB639" s="0">
        <f>IF(J639="", "", VLOOKUP(J639, DanhSachChucDanhRange, 2, FALSE))</f>
      </c>
      <c r="AC639" s="0">
        <f>IF(L639="", "", VLOOKUP(L639, ThangLuongData, 2, FALSE))</f>
      </c>
      <c r="AD639" s="0">
        <f>IF(M639="", "", VLOOKUP(M639, NgachLuongData, 2, FALSE))</f>
      </c>
      <c r="AE639" s="0">
        <f>IF(N639="", "", VLOOKUP(N639, BacLuongData, 2, FALSE))</f>
      </c>
      <c r="AF639" s="0">
        <f>IF(P639="", "", VLOOKUP(P639, DanhSachCodeId, 3, FALSE))</f>
      </c>
    </row>
    <row r="640">
      <c r="A640" s="0">
        <f>IF(B640="", "", VLOOKUP(B640, DanhSachCodeId, 3, FALSE))</f>
      </c>
      <c r="C640" s="0">
        <f>IF(B640="", "", VLOOKUP(B640, DanhSachNhanVien, 2, FALSE))</f>
      </c>
      <c r="Q640" s="0">
        <f>IF(P640="", "", VLOOKUP(P640, DanhSachNhanVien, 2, FALSE))</f>
      </c>
      <c r="Z640" s="0">
        <f>IF(D640="", "", VLOOKUP(D640, DanhSachLoaiQuyetDinhRange, 2, FALSE))</f>
      </c>
      <c r="AA640" s="0">
        <f>IF(I640="", "", VLOOKUP(I640, DanhSachPhongBanRange, 2, FALSE))</f>
      </c>
      <c r="AB640" s="0">
        <f>IF(J640="", "", VLOOKUP(J640, DanhSachChucDanhRange, 2, FALSE))</f>
      </c>
      <c r="AC640" s="0">
        <f>IF(L640="", "", VLOOKUP(L640, ThangLuongData, 2, FALSE))</f>
      </c>
      <c r="AD640" s="0">
        <f>IF(M640="", "", VLOOKUP(M640, NgachLuongData, 2, FALSE))</f>
      </c>
      <c r="AE640" s="0">
        <f>IF(N640="", "", VLOOKUP(N640, BacLuongData, 2, FALSE))</f>
      </c>
      <c r="AF640" s="0">
        <f>IF(P640="", "", VLOOKUP(P640, DanhSachCodeId, 3, FALSE))</f>
      </c>
    </row>
    <row r="641">
      <c r="A641" s="0">
        <f>IF(B641="", "", VLOOKUP(B641, DanhSachCodeId, 3, FALSE))</f>
      </c>
      <c r="C641" s="0">
        <f>IF(B641="", "", VLOOKUP(B641, DanhSachNhanVien, 2, FALSE))</f>
      </c>
      <c r="Q641" s="0">
        <f>IF(P641="", "", VLOOKUP(P641, DanhSachNhanVien, 2, FALSE))</f>
      </c>
      <c r="Z641" s="0">
        <f>IF(D641="", "", VLOOKUP(D641, DanhSachLoaiQuyetDinhRange, 2, FALSE))</f>
      </c>
      <c r="AA641" s="0">
        <f>IF(I641="", "", VLOOKUP(I641, DanhSachPhongBanRange, 2, FALSE))</f>
      </c>
      <c r="AB641" s="0">
        <f>IF(J641="", "", VLOOKUP(J641, DanhSachChucDanhRange, 2, FALSE))</f>
      </c>
      <c r="AC641" s="0">
        <f>IF(L641="", "", VLOOKUP(L641, ThangLuongData, 2, FALSE))</f>
      </c>
      <c r="AD641" s="0">
        <f>IF(M641="", "", VLOOKUP(M641, NgachLuongData, 2, FALSE))</f>
      </c>
      <c r="AE641" s="0">
        <f>IF(N641="", "", VLOOKUP(N641, BacLuongData, 2, FALSE))</f>
      </c>
      <c r="AF641" s="0">
        <f>IF(P641="", "", VLOOKUP(P641, DanhSachCodeId, 3, FALSE))</f>
      </c>
    </row>
    <row r="642">
      <c r="A642" s="0">
        <f>IF(B642="", "", VLOOKUP(B642, DanhSachCodeId, 3, FALSE))</f>
      </c>
      <c r="C642" s="0">
        <f>IF(B642="", "", VLOOKUP(B642, DanhSachNhanVien, 2, FALSE))</f>
      </c>
      <c r="Q642" s="0">
        <f>IF(P642="", "", VLOOKUP(P642, DanhSachNhanVien, 2, FALSE))</f>
      </c>
      <c r="Z642" s="0">
        <f>IF(D642="", "", VLOOKUP(D642, DanhSachLoaiQuyetDinhRange, 2, FALSE))</f>
      </c>
      <c r="AA642" s="0">
        <f>IF(I642="", "", VLOOKUP(I642, DanhSachPhongBanRange, 2, FALSE))</f>
      </c>
      <c r="AB642" s="0">
        <f>IF(J642="", "", VLOOKUP(J642, DanhSachChucDanhRange, 2, FALSE))</f>
      </c>
      <c r="AC642" s="0">
        <f>IF(L642="", "", VLOOKUP(L642, ThangLuongData, 2, FALSE))</f>
      </c>
      <c r="AD642" s="0">
        <f>IF(M642="", "", VLOOKUP(M642, NgachLuongData, 2, FALSE))</f>
      </c>
      <c r="AE642" s="0">
        <f>IF(N642="", "", VLOOKUP(N642, BacLuongData, 2, FALSE))</f>
      </c>
      <c r="AF642" s="0">
        <f>IF(P642="", "", VLOOKUP(P642, DanhSachCodeId, 3, FALSE))</f>
      </c>
    </row>
    <row r="643">
      <c r="A643" s="0">
        <f>IF(B643="", "", VLOOKUP(B643, DanhSachCodeId, 3, FALSE))</f>
      </c>
      <c r="C643" s="0">
        <f>IF(B643="", "", VLOOKUP(B643, DanhSachNhanVien, 2, FALSE))</f>
      </c>
      <c r="Q643" s="0">
        <f>IF(P643="", "", VLOOKUP(P643, DanhSachNhanVien, 2, FALSE))</f>
      </c>
      <c r="Z643" s="0">
        <f>IF(D643="", "", VLOOKUP(D643, DanhSachLoaiQuyetDinhRange, 2, FALSE))</f>
      </c>
      <c r="AA643" s="0">
        <f>IF(I643="", "", VLOOKUP(I643, DanhSachPhongBanRange, 2, FALSE))</f>
      </c>
      <c r="AB643" s="0">
        <f>IF(J643="", "", VLOOKUP(J643, DanhSachChucDanhRange, 2, FALSE))</f>
      </c>
      <c r="AC643" s="0">
        <f>IF(L643="", "", VLOOKUP(L643, ThangLuongData, 2, FALSE))</f>
      </c>
      <c r="AD643" s="0">
        <f>IF(M643="", "", VLOOKUP(M643, NgachLuongData, 2, FALSE))</f>
      </c>
      <c r="AE643" s="0">
        <f>IF(N643="", "", VLOOKUP(N643, BacLuongData, 2, FALSE))</f>
      </c>
      <c r="AF643" s="0">
        <f>IF(P643="", "", VLOOKUP(P643, DanhSachCodeId, 3, FALSE))</f>
      </c>
    </row>
    <row r="644">
      <c r="A644" s="0">
        <f>IF(B644="", "", VLOOKUP(B644, DanhSachCodeId, 3, FALSE))</f>
      </c>
      <c r="C644" s="0">
        <f>IF(B644="", "", VLOOKUP(B644, DanhSachNhanVien, 2, FALSE))</f>
      </c>
      <c r="Q644" s="0">
        <f>IF(P644="", "", VLOOKUP(P644, DanhSachNhanVien, 2, FALSE))</f>
      </c>
      <c r="Z644" s="0">
        <f>IF(D644="", "", VLOOKUP(D644, DanhSachLoaiQuyetDinhRange, 2, FALSE))</f>
      </c>
      <c r="AA644" s="0">
        <f>IF(I644="", "", VLOOKUP(I644, DanhSachPhongBanRange, 2, FALSE))</f>
      </c>
      <c r="AB644" s="0">
        <f>IF(J644="", "", VLOOKUP(J644, DanhSachChucDanhRange, 2, FALSE))</f>
      </c>
      <c r="AC644" s="0">
        <f>IF(L644="", "", VLOOKUP(L644, ThangLuongData, 2, FALSE))</f>
      </c>
      <c r="AD644" s="0">
        <f>IF(M644="", "", VLOOKUP(M644, NgachLuongData, 2, FALSE))</f>
      </c>
      <c r="AE644" s="0">
        <f>IF(N644="", "", VLOOKUP(N644, BacLuongData, 2, FALSE))</f>
      </c>
      <c r="AF644" s="0">
        <f>IF(P644="", "", VLOOKUP(P644, DanhSachCodeId, 3, FALSE))</f>
      </c>
    </row>
    <row r="645">
      <c r="A645" s="0">
        <f>IF(B645="", "", VLOOKUP(B645, DanhSachCodeId, 3, FALSE))</f>
      </c>
      <c r="C645" s="0">
        <f>IF(B645="", "", VLOOKUP(B645, DanhSachNhanVien, 2, FALSE))</f>
      </c>
      <c r="Q645" s="0">
        <f>IF(P645="", "", VLOOKUP(P645, DanhSachNhanVien, 2, FALSE))</f>
      </c>
      <c r="Z645" s="0">
        <f>IF(D645="", "", VLOOKUP(D645, DanhSachLoaiQuyetDinhRange, 2, FALSE))</f>
      </c>
      <c r="AA645" s="0">
        <f>IF(I645="", "", VLOOKUP(I645, DanhSachPhongBanRange, 2, FALSE))</f>
      </c>
      <c r="AB645" s="0">
        <f>IF(J645="", "", VLOOKUP(J645, DanhSachChucDanhRange, 2, FALSE))</f>
      </c>
      <c r="AC645" s="0">
        <f>IF(L645="", "", VLOOKUP(L645, ThangLuongData, 2, FALSE))</f>
      </c>
      <c r="AD645" s="0">
        <f>IF(M645="", "", VLOOKUP(M645, NgachLuongData, 2, FALSE))</f>
      </c>
      <c r="AE645" s="0">
        <f>IF(N645="", "", VLOOKUP(N645, BacLuongData, 2, FALSE))</f>
      </c>
      <c r="AF645" s="0">
        <f>IF(P645="", "", VLOOKUP(P645, DanhSachCodeId, 3, FALSE))</f>
      </c>
    </row>
    <row r="646">
      <c r="A646" s="0">
        <f>IF(B646="", "", VLOOKUP(B646, DanhSachCodeId, 3, FALSE))</f>
      </c>
      <c r="C646" s="0">
        <f>IF(B646="", "", VLOOKUP(B646, DanhSachNhanVien, 2, FALSE))</f>
      </c>
      <c r="Q646" s="0">
        <f>IF(P646="", "", VLOOKUP(P646, DanhSachNhanVien, 2, FALSE))</f>
      </c>
      <c r="Z646" s="0">
        <f>IF(D646="", "", VLOOKUP(D646, DanhSachLoaiQuyetDinhRange, 2, FALSE))</f>
      </c>
      <c r="AA646" s="0">
        <f>IF(I646="", "", VLOOKUP(I646, DanhSachPhongBanRange, 2, FALSE))</f>
      </c>
      <c r="AB646" s="0">
        <f>IF(J646="", "", VLOOKUP(J646, DanhSachChucDanhRange, 2, FALSE))</f>
      </c>
      <c r="AC646" s="0">
        <f>IF(L646="", "", VLOOKUP(L646, ThangLuongData, 2, FALSE))</f>
      </c>
      <c r="AD646" s="0">
        <f>IF(M646="", "", VLOOKUP(M646, NgachLuongData, 2, FALSE))</f>
      </c>
      <c r="AE646" s="0">
        <f>IF(N646="", "", VLOOKUP(N646, BacLuongData, 2, FALSE))</f>
      </c>
      <c r="AF646" s="0">
        <f>IF(P646="", "", VLOOKUP(P646, DanhSachCodeId, 3, FALSE))</f>
      </c>
    </row>
    <row r="647">
      <c r="A647" s="0">
        <f>IF(B647="", "", VLOOKUP(B647, DanhSachCodeId, 3, FALSE))</f>
      </c>
      <c r="C647" s="0">
        <f>IF(B647="", "", VLOOKUP(B647, DanhSachNhanVien, 2, FALSE))</f>
      </c>
      <c r="Q647" s="0">
        <f>IF(P647="", "", VLOOKUP(P647, DanhSachNhanVien, 2, FALSE))</f>
      </c>
      <c r="Z647" s="0">
        <f>IF(D647="", "", VLOOKUP(D647, DanhSachLoaiQuyetDinhRange, 2, FALSE))</f>
      </c>
      <c r="AA647" s="0">
        <f>IF(I647="", "", VLOOKUP(I647, DanhSachPhongBanRange, 2, FALSE))</f>
      </c>
      <c r="AB647" s="0">
        <f>IF(J647="", "", VLOOKUP(J647, DanhSachChucDanhRange, 2, FALSE))</f>
      </c>
      <c r="AC647" s="0">
        <f>IF(L647="", "", VLOOKUP(L647, ThangLuongData, 2, FALSE))</f>
      </c>
      <c r="AD647" s="0">
        <f>IF(M647="", "", VLOOKUP(M647, NgachLuongData, 2, FALSE))</f>
      </c>
      <c r="AE647" s="0">
        <f>IF(N647="", "", VLOOKUP(N647, BacLuongData, 2, FALSE))</f>
      </c>
      <c r="AF647" s="0">
        <f>IF(P647="", "", VLOOKUP(P647, DanhSachCodeId, 3, FALSE))</f>
      </c>
    </row>
    <row r="648">
      <c r="A648" s="0">
        <f>IF(B648="", "", VLOOKUP(B648, DanhSachCodeId, 3, FALSE))</f>
      </c>
      <c r="C648" s="0">
        <f>IF(B648="", "", VLOOKUP(B648, DanhSachNhanVien, 2, FALSE))</f>
      </c>
      <c r="Q648" s="0">
        <f>IF(P648="", "", VLOOKUP(P648, DanhSachNhanVien, 2, FALSE))</f>
      </c>
      <c r="Z648" s="0">
        <f>IF(D648="", "", VLOOKUP(D648, DanhSachLoaiQuyetDinhRange, 2, FALSE))</f>
      </c>
      <c r="AA648" s="0">
        <f>IF(I648="", "", VLOOKUP(I648, DanhSachPhongBanRange, 2, FALSE))</f>
      </c>
      <c r="AB648" s="0">
        <f>IF(J648="", "", VLOOKUP(J648, DanhSachChucDanhRange, 2, FALSE))</f>
      </c>
      <c r="AC648" s="0">
        <f>IF(L648="", "", VLOOKUP(L648, ThangLuongData, 2, FALSE))</f>
      </c>
      <c r="AD648" s="0">
        <f>IF(M648="", "", VLOOKUP(M648, NgachLuongData, 2, FALSE))</f>
      </c>
      <c r="AE648" s="0">
        <f>IF(N648="", "", VLOOKUP(N648, BacLuongData, 2, FALSE))</f>
      </c>
      <c r="AF648" s="0">
        <f>IF(P648="", "", VLOOKUP(P648, DanhSachCodeId, 3, FALSE))</f>
      </c>
    </row>
    <row r="649">
      <c r="A649" s="0">
        <f>IF(B649="", "", VLOOKUP(B649, DanhSachCodeId, 3, FALSE))</f>
      </c>
      <c r="C649" s="0">
        <f>IF(B649="", "", VLOOKUP(B649, DanhSachNhanVien, 2, FALSE))</f>
      </c>
      <c r="Q649" s="0">
        <f>IF(P649="", "", VLOOKUP(P649, DanhSachNhanVien, 2, FALSE))</f>
      </c>
      <c r="Z649" s="0">
        <f>IF(D649="", "", VLOOKUP(D649, DanhSachLoaiQuyetDinhRange, 2, FALSE))</f>
      </c>
      <c r="AA649" s="0">
        <f>IF(I649="", "", VLOOKUP(I649, DanhSachPhongBanRange, 2, FALSE))</f>
      </c>
      <c r="AB649" s="0">
        <f>IF(J649="", "", VLOOKUP(J649, DanhSachChucDanhRange, 2, FALSE))</f>
      </c>
      <c r="AC649" s="0">
        <f>IF(L649="", "", VLOOKUP(L649, ThangLuongData, 2, FALSE))</f>
      </c>
      <c r="AD649" s="0">
        <f>IF(M649="", "", VLOOKUP(M649, NgachLuongData, 2, FALSE))</f>
      </c>
      <c r="AE649" s="0">
        <f>IF(N649="", "", VLOOKUP(N649, BacLuongData, 2, FALSE))</f>
      </c>
      <c r="AF649" s="0">
        <f>IF(P649="", "", VLOOKUP(P649, DanhSachCodeId, 3, FALSE))</f>
      </c>
    </row>
    <row r="650">
      <c r="A650" s="0">
        <f>IF(B650="", "", VLOOKUP(B650, DanhSachCodeId, 3, FALSE))</f>
      </c>
      <c r="C650" s="0">
        <f>IF(B650="", "", VLOOKUP(B650, DanhSachNhanVien, 2, FALSE))</f>
      </c>
      <c r="Q650" s="0">
        <f>IF(P650="", "", VLOOKUP(P650, DanhSachNhanVien, 2, FALSE))</f>
      </c>
      <c r="Z650" s="0">
        <f>IF(D650="", "", VLOOKUP(D650, DanhSachLoaiQuyetDinhRange, 2, FALSE))</f>
      </c>
      <c r="AA650" s="0">
        <f>IF(I650="", "", VLOOKUP(I650, DanhSachPhongBanRange, 2, FALSE))</f>
      </c>
      <c r="AB650" s="0">
        <f>IF(J650="", "", VLOOKUP(J650, DanhSachChucDanhRange, 2, FALSE))</f>
      </c>
      <c r="AC650" s="0">
        <f>IF(L650="", "", VLOOKUP(L650, ThangLuongData, 2, FALSE))</f>
      </c>
      <c r="AD650" s="0">
        <f>IF(M650="", "", VLOOKUP(M650, NgachLuongData, 2, FALSE))</f>
      </c>
      <c r="AE650" s="0">
        <f>IF(N650="", "", VLOOKUP(N650, BacLuongData, 2, FALSE))</f>
      </c>
      <c r="AF650" s="0">
        <f>IF(P650="", "", VLOOKUP(P650, DanhSachCodeId, 3, FALSE))</f>
      </c>
    </row>
    <row r="651">
      <c r="A651" s="0">
        <f>IF(B651="", "", VLOOKUP(B651, DanhSachCodeId, 3, FALSE))</f>
      </c>
      <c r="C651" s="0">
        <f>IF(B651="", "", VLOOKUP(B651, DanhSachNhanVien, 2, FALSE))</f>
      </c>
      <c r="Q651" s="0">
        <f>IF(P651="", "", VLOOKUP(P651, DanhSachNhanVien, 2, FALSE))</f>
      </c>
      <c r="Z651" s="0">
        <f>IF(D651="", "", VLOOKUP(D651, DanhSachLoaiQuyetDinhRange, 2, FALSE))</f>
      </c>
      <c r="AA651" s="0">
        <f>IF(I651="", "", VLOOKUP(I651, DanhSachPhongBanRange, 2, FALSE))</f>
      </c>
      <c r="AB651" s="0">
        <f>IF(J651="", "", VLOOKUP(J651, DanhSachChucDanhRange, 2, FALSE))</f>
      </c>
      <c r="AC651" s="0">
        <f>IF(L651="", "", VLOOKUP(L651, ThangLuongData, 2, FALSE))</f>
      </c>
      <c r="AD651" s="0">
        <f>IF(M651="", "", VLOOKUP(M651, NgachLuongData, 2, FALSE))</f>
      </c>
      <c r="AE651" s="0">
        <f>IF(N651="", "", VLOOKUP(N651, BacLuongData, 2, FALSE))</f>
      </c>
      <c r="AF651" s="0">
        <f>IF(P651="", "", VLOOKUP(P651, DanhSachCodeId, 3, FALSE))</f>
      </c>
    </row>
    <row r="652">
      <c r="A652" s="0">
        <f>IF(B652="", "", VLOOKUP(B652, DanhSachCodeId, 3, FALSE))</f>
      </c>
      <c r="C652" s="0">
        <f>IF(B652="", "", VLOOKUP(B652, DanhSachNhanVien, 2, FALSE))</f>
      </c>
      <c r="Q652" s="0">
        <f>IF(P652="", "", VLOOKUP(P652, DanhSachNhanVien, 2, FALSE))</f>
      </c>
      <c r="Z652" s="0">
        <f>IF(D652="", "", VLOOKUP(D652, DanhSachLoaiQuyetDinhRange, 2, FALSE))</f>
      </c>
      <c r="AA652" s="0">
        <f>IF(I652="", "", VLOOKUP(I652, DanhSachPhongBanRange, 2, FALSE))</f>
      </c>
      <c r="AB652" s="0">
        <f>IF(J652="", "", VLOOKUP(J652, DanhSachChucDanhRange, 2, FALSE))</f>
      </c>
      <c r="AC652" s="0">
        <f>IF(L652="", "", VLOOKUP(L652, ThangLuongData, 2, FALSE))</f>
      </c>
      <c r="AD652" s="0">
        <f>IF(M652="", "", VLOOKUP(M652, NgachLuongData, 2, FALSE))</f>
      </c>
      <c r="AE652" s="0">
        <f>IF(N652="", "", VLOOKUP(N652, BacLuongData, 2, FALSE))</f>
      </c>
      <c r="AF652" s="0">
        <f>IF(P652="", "", VLOOKUP(P652, DanhSachCodeId, 3, FALSE))</f>
      </c>
    </row>
    <row r="653">
      <c r="A653" s="0">
        <f>IF(B653="", "", VLOOKUP(B653, DanhSachCodeId, 3, FALSE))</f>
      </c>
      <c r="C653" s="0">
        <f>IF(B653="", "", VLOOKUP(B653, DanhSachNhanVien, 2, FALSE))</f>
      </c>
      <c r="Q653" s="0">
        <f>IF(P653="", "", VLOOKUP(P653, DanhSachNhanVien, 2, FALSE))</f>
      </c>
      <c r="Z653" s="0">
        <f>IF(D653="", "", VLOOKUP(D653, DanhSachLoaiQuyetDinhRange, 2, FALSE))</f>
      </c>
      <c r="AA653" s="0">
        <f>IF(I653="", "", VLOOKUP(I653, DanhSachPhongBanRange, 2, FALSE))</f>
      </c>
      <c r="AB653" s="0">
        <f>IF(J653="", "", VLOOKUP(J653, DanhSachChucDanhRange, 2, FALSE))</f>
      </c>
      <c r="AC653" s="0">
        <f>IF(L653="", "", VLOOKUP(L653, ThangLuongData, 2, FALSE))</f>
      </c>
      <c r="AD653" s="0">
        <f>IF(M653="", "", VLOOKUP(M653, NgachLuongData, 2, FALSE))</f>
      </c>
      <c r="AE653" s="0">
        <f>IF(N653="", "", VLOOKUP(N653, BacLuongData, 2, FALSE))</f>
      </c>
      <c r="AF653" s="0">
        <f>IF(P653="", "", VLOOKUP(P653, DanhSachCodeId, 3, FALSE))</f>
      </c>
    </row>
    <row r="654">
      <c r="A654" s="0">
        <f>IF(B654="", "", VLOOKUP(B654, DanhSachCodeId, 3, FALSE))</f>
      </c>
      <c r="C654" s="0">
        <f>IF(B654="", "", VLOOKUP(B654, DanhSachNhanVien, 2, FALSE))</f>
      </c>
      <c r="Q654" s="0">
        <f>IF(P654="", "", VLOOKUP(P654, DanhSachNhanVien, 2, FALSE))</f>
      </c>
      <c r="Z654" s="0">
        <f>IF(D654="", "", VLOOKUP(D654, DanhSachLoaiQuyetDinhRange, 2, FALSE))</f>
      </c>
      <c r="AA654" s="0">
        <f>IF(I654="", "", VLOOKUP(I654, DanhSachPhongBanRange, 2, FALSE))</f>
      </c>
      <c r="AB654" s="0">
        <f>IF(J654="", "", VLOOKUP(J654, DanhSachChucDanhRange, 2, FALSE))</f>
      </c>
      <c r="AC654" s="0">
        <f>IF(L654="", "", VLOOKUP(L654, ThangLuongData, 2, FALSE))</f>
      </c>
      <c r="AD654" s="0">
        <f>IF(M654="", "", VLOOKUP(M654, NgachLuongData, 2, FALSE))</f>
      </c>
      <c r="AE654" s="0">
        <f>IF(N654="", "", VLOOKUP(N654, BacLuongData, 2, FALSE))</f>
      </c>
      <c r="AF654" s="0">
        <f>IF(P654="", "", VLOOKUP(P654, DanhSachCodeId, 3, FALSE))</f>
      </c>
    </row>
    <row r="655">
      <c r="A655" s="0">
        <f>IF(B655="", "", VLOOKUP(B655, DanhSachCodeId, 3, FALSE))</f>
      </c>
      <c r="C655" s="0">
        <f>IF(B655="", "", VLOOKUP(B655, DanhSachNhanVien, 2, FALSE))</f>
      </c>
      <c r="Q655" s="0">
        <f>IF(P655="", "", VLOOKUP(P655, DanhSachNhanVien, 2, FALSE))</f>
      </c>
      <c r="Z655" s="0">
        <f>IF(D655="", "", VLOOKUP(D655, DanhSachLoaiQuyetDinhRange, 2, FALSE))</f>
      </c>
      <c r="AA655" s="0">
        <f>IF(I655="", "", VLOOKUP(I655, DanhSachPhongBanRange, 2, FALSE))</f>
      </c>
      <c r="AB655" s="0">
        <f>IF(J655="", "", VLOOKUP(J655, DanhSachChucDanhRange, 2, FALSE))</f>
      </c>
      <c r="AC655" s="0">
        <f>IF(L655="", "", VLOOKUP(L655, ThangLuongData, 2, FALSE))</f>
      </c>
      <c r="AD655" s="0">
        <f>IF(M655="", "", VLOOKUP(M655, NgachLuongData, 2, FALSE))</f>
      </c>
      <c r="AE655" s="0">
        <f>IF(N655="", "", VLOOKUP(N655, BacLuongData, 2, FALSE))</f>
      </c>
      <c r="AF655" s="0">
        <f>IF(P655="", "", VLOOKUP(P655, DanhSachCodeId, 3, FALSE))</f>
      </c>
    </row>
    <row r="656">
      <c r="A656" s="0">
        <f>IF(B656="", "", VLOOKUP(B656, DanhSachCodeId, 3, FALSE))</f>
      </c>
      <c r="C656" s="0">
        <f>IF(B656="", "", VLOOKUP(B656, DanhSachNhanVien, 2, FALSE))</f>
      </c>
      <c r="Q656" s="0">
        <f>IF(P656="", "", VLOOKUP(P656, DanhSachNhanVien, 2, FALSE))</f>
      </c>
      <c r="Z656" s="0">
        <f>IF(D656="", "", VLOOKUP(D656, DanhSachLoaiQuyetDinhRange, 2, FALSE))</f>
      </c>
      <c r="AA656" s="0">
        <f>IF(I656="", "", VLOOKUP(I656, DanhSachPhongBanRange, 2, FALSE))</f>
      </c>
      <c r="AB656" s="0">
        <f>IF(J656="", "", VLOOKUP(J656, DanhSachChucDanhRange, 2, FALSE))</f>
      </c>
      <c r="AC656" s="0">
        <f>IF(L656="", "", VLOOKUP(L656, ThangLuongData, 2, FALSE))</f>
      </c>
      <c r="AD656" s="0">
        <f>IF(M656="", "", VLOOKUP(M656, NgachLuongData, 2, FALSE))</f>
      </c>
      <c r="AE656" s="0">
        <f>IF(N656="", "", VLOOKUP(N656, BacLuongData, 2, FALSE))</f>
      </c>
      <c r="AF656" s="0">
        <f>IF(P656="", "", VLOOKUP(P656, DanhSachCodeId, 3, FALSE))</f>
      </c>
    </row>
    <row r="657">
      <c r="A657" s="0">
        <f>IF(B657="", "", VLOOKUP(B657, DanhSachCodeId, 3, FALSE))</f>
      </c>
      <c r="C657" s="0">
        <f>IF(B657="", "", VLOOKUP(B657, DanhSachNhanVien, 2, FALSE))</f>
      </c>
      <c r="Q657" s="0">
        <f>IF(P657="", "", VLOOKUP(P657, DanhSachNhanVien, 2, FALSE))</f>
      </c>
      <c r="Z657" s="0">
        <f>IF(D657="", "", VLOOKUP(D657, DanhSachLoaiQuyetDinhRange, 2, FALSE))</f>
      </c>
      <c r="AA657" s="0">
        <f>IF(I657="", "", VLOOKUP(I657, DanhSachPhongBanRange, 2, FALSE))</f>
      </c>
      <c r="AB657" s="0">
        <f>IF(J657="", "", VLOOKUP(J657, DanhSachChucDanhRange, 2, FALSE))</f>
      </c>
      <c r="AC657" s="0">
        <f>IF(L657="", "", VLOOKUP(L657, ThangLuongData, 2, FALSE))</f>
      </c>
      <c r="AD657" s="0">
        <f>IF(M657="", "", VLOOKUP(M657, NgachLuongData, 2, FALSE))</f>
      </c>
      <c r="AE657" s="0">
        <f>IF(N657="", "", VLOOKUP(N657, BacLuongData, 2, FALSE))</f>
      </c>
      <c r="AF657" s="0">
        <f>IF(P657="", "", VLOOKUP(P657, DanhSachCodeId, 3, FALSE))</f>
      </c>
    </row>
    <row r="658">
      <c r="A658" s="0">
        <f>IF(B658="", "", VLOOKUP(B658, DanhSachCodeId, 3, FALSE))</f>
      </c>
      <c r="C658" s="0">
        <f>IF(B658="", "", VLOOKUP(B658, DanhSachNhanVien, 2, FALSE))</f>
      </c>
      <c r="Q658" s="0">
        <f>IF(P658="", "", VLOOKUP(P658, DanhSachNhanVien, 2, FALSE))</f>
      </c>
      <c r="Z658" s="0">
        <f>IF(D658="", "", VLOOKUP(D658, DanhSachLoaiQuyetDinhRange, 2, FALSE))</f>
      </c>
      <c r="AA658" s="0">
        <f>IF(I658="", "", VLOOKUP(I658, DanhSachPhongBanRange, 2, FALSE))</f>
      </c>
      <c r="AB658" s="0">
        <f>IF(J658="", "", VLOOKUP(J658, DanhSachChucDanhRange, 2, FALSE))</f>
      </c>
      <c r="AC658" s="0">
        <f>IF(L658="", "", VLOOKUP(L658, ThangLuongData, 2, FALSE))</f>
      </c>
      <c r="AD658" s="0">
        <f>IF(M658="", "", VLOOKUP(M658, NgachLuongData, 2, FALSE))</f>
      </c>
      <c r="AE658" s="0">
        <f>IF(N658="", "", VLOOKUP(N658, BacLuongData, 2, FALSE))</f>
      </c>
      <c r="AF658" s="0">
        <f>IF(P658="", "", VLOOKUP(P658, DanhSachCodeId, 3, FALSE))</f>
      </c>
    </row>
    <row r="659">
      <c r="A659" s="0">
        <f>IF(B659="", "", VLOOKUP(B659, DanhSachCodeId, 3, FALSE))</f>
      </c>
      <c r="C659" s="0">
        <f>IF(B659="", "", VLOOKUP(B659, DanhSachNhanVien, 2, FALSE))</f>
      </c>
      <c r="Q659" s="0">
        <f>IF(P659="", "", VLOOKUP(P659, DanhSachNhanVien, 2, FALSE))</f>
      </c>
      <c r="Z659" s="0">
        <f>IF(D659="", "", VLOOKUP(D659, DanhSachLoaiQuyetDinhRange, 2, FALSE))</f>
      </c>
      <c r="AA659" s="0">
        <f>IF(I659="", "", VLOOKUP(I659, DanhSachPhongBanRange, 2, FALSE))</f>
      </c>
      <c r="AB659" s="0">
        <f>IF(J659="", "", VLOOKUP(J659, DanhSachChucDanhRange, 2, FALSE))</f>
      </c>
      <c r="AC659" s="0">
        <f>IF(L659="", "", VLOOKUP(L659, ThangLuongData, 2, FALSE))</f>
      </c>
      <c r="AD659" s="0">
        <f>IF(M659="", "", VLOOKUP(M659, NgachLuongData, 2, FALSE))</f>
      </c>
      <c r="AE659" s="0">
        <f>IF(N659="", "", VLOOKUP(N659, BacLuongData, 2, FALSE))</f>
      </c>
      <c r="AF659" s="0">
        <f>IF(P659="", "", VLOOKUP(P659, DanhSachCodeId, 3, FALSE))</f>
      </c>
    </row>
    <row r="660">
      <c r="A660" s="0">
        <f>IF(B660="", "", VLOOKUP(B660, DanhSachCodeId, 3, FALSE))</f>
      </c>
      <c r="C660" s="0">
        <f>IF(B660="", "", VLOOKUP(B660, DanhSachNhanVien, 2, FALSE))</f>
      </c>
      <c r="Q660" s="0">
        <f>IF(P660="", "", VLOOKUP(P660, DanhSachNhanVien, 2, FALSE))</f>
      </c>
      <c r="Z660" s="0">
        <f>IF(D660="", "", VLOOKUP(D660, DanhSachLoaiQuyetDinhRange, 2, FALSE))</f>
      </c>
      <c r="AA660" s="0">
        <f>IF(I660="", "", VLOOKUP(I660, DanhSachPhongBanRange, 2, FALSE))</f>
      </c>
      <c r="AB660" s="0">
        <f>IF(J660="", "", VLOOKUP(J660, DanhSachChucDanhRange, 2, FALSE))</f>
      </c>
      <c r="AC660" s="0">
        <f>IF(L660="", "", VLOOKUP(L660, ThangLuongData, 2, FALSE))</f>
      </c>
      <c r="AD660" s="0">
        <f>IF(M660="", "", VLOOKUP(M660, NgachLuongData, 2, FALSE))</f>
      </c>
      <c r="AE660" s="0">
        <f>IF(N660="", "", VLOOKUP(N660, BacLuongData, 2, FALSE))</f>
      </c>
      <c r="AF660" s="0">
        <f>IF(P660="", "", VLOOKUP(P660, DanhSachCodeId, 3, FALSE))</f>
      </c>
    </row>
    <row r="661">
      <c r="A661" s="0">
        <f>IF(B661="", "", VLOOKUP(B661, DanhSachCodeId, 3, FALSE))</f>
      </c>
      <c r="C661" s="0">
        <f>IF(B661="", "", VLOOKUP(B661, DanhSachNhanVien, 2, FALSE))</f>
      </c>
      <c r="Q661" s="0">
        <f>IF(P661="", "", VLOOKUP(P661, DanhSachNhanVien, 2, FALSE))</f>
      </c>
      <c r="Z661" s="0">
        <f>IF(D661="", "", VLOOKUP(D661, DanhSachLoaiQuyetDinhRange, 2, FALSE))</f>
      </c>
      <c r="AA661" s="0">
        <f>IF(I661="", "", VLOOKUP(I661, DanhSachPhongBanRange, 2, FALSE))</f>
      </c>
      <c r="AB661" s="0">
        <f>IF(J661="", "", VLOOKUP(J661, DanhSachChucDanhRange, 2, FALSE))</f>
      </c>
      <c r="AC661" s="0">
        <f>IF(L661="", "", VLOOKUP(L661, ThangLuongData, 2, FALSE))</f>
      </c>
      <c r="AD661" s="0">
        <f>IF(M661="", "", VLOOKUP(M661, NgachLuongData, 2, FALSE))</f>
      </c>
      <c r="AE661" s="0">
        <f>IF(N661="", "", VLOOKUP(N661, BacLuongData, 2, FALSE))</f>
      </c>
      <c r="AF661" s="0">
        <f>IF(P661="", "", VLOOKUP(P661, DanhSachCodeId, 3, FALSE))</f>
      </c>
    </row>
    <row r="662">
      <c r="A662" s="0">
        <f>IF(B662="", "", VLOOKUP(B662, DanhSachCodeId, 3, FALSE))</f>
      </c>
      <c r="C662" s="0">
        <f>IF(B662="", "", VLOOKUP(B662, DanhSachNhanVien, 2, FALSE))</f>
      </c>
      <c r="Q662" s="0">
        <f>IF(P662="", "", VLOOKUP(P662, DanhSachNhanVien, 2, FALSE))</f>
      </c>
      <c r="Z662" s="0">
        <f>IF(D662="", "", VLOOKUP(D662, DanhSachLoaiQuyetDinhRange, 2, FALSE))</f>
      </c>
      <c r="AA662" s="0">
        <f>IF(I662="", "", VLOOKUP(I662, DanhSachPhongBanRange, 2, FALSE))</f>
      </c>
      <c r="AB662" s="0">
        <f>IF(J662="", "", VLOOKUP(J662, DanhSachChucDanhRange, 2, FALSE))</f>
      </c>
      <c r="AC662" s="0">
        <f>IF(L662="", "", VLOOKUP(L662, ThangLuongData, 2, FALSE))</f>
      </c>
      <c r="AD662" s="0">
        <f>IF(M662="", "", VLOOKUP(M662, NgachLuongData, 2, FALSE))</f>
      </c>
      <c r="AE662" s="0">
        <f>IF(N662="", "", VLOOKUP(N662, BacLuongData, 2, FALSE))</f>
      </c>
      <c r="AF662" s="0">
        <f>IF(P662="", "", VLOOKUP(P662, DanhSachCodeId, 3, FALSE))</f>
      </c>
    </row>
    <row r="663">
      <c r="A663" s="0">
        <f>IF(B663="", "", VLOOKUP(B663, DanhSachCodeId, 3, FALSE))</f>
      </c>
      <c r="C663" s="0">
        <f>IF(B663="", "", VLOOKUP(B663, DanhSachNhanVien, 2, FALSE))</f>
      </c>
      <c r="Q663" s="0">
        <f>IF(P663="", "", VLOOKUP(P663, DanhSachNhanVien, 2, FALSE))</f>
      </c>
      <c r="Z663" s="0">
        <f>IF(D663="", "", VLOOKUP(D663, DanhSachLoaiQuyetDinhRange, 2, FALSE))</f>
      </c>
      <c r="AA663" s="0">
        <f>IF(I663="", "", VLOOKUP(I663, DanhSachPhongBanRange, 2, FALSE))</f>
      </c>
      <c r="AB663" s="0">
        <f>IF(J663="", "", VLOOKUP(J663, DanhSachChucDanhRange, 2, FALSE))</f>
      </c>
      <c r="AC663" s="0">
        <f>IF(L663="", "", VLOOKUP(L663, ThangLuongData, 2, FALSE))</f>
      </c>
      <c r="AD663" s="0">
        <f>IF(M663="", "", VLOOKUP(M663, NgachLuongData, 2, FALSE))</f>
      </c>
      <c r="AE663" s="0">
        <f>IF(N663="", "", VLOOKUP(N663, BacLuongData, 2, FALSE))</f>
      </c>
      <c r="AF663" s="0">
        <f>IF(P663="", "", VLOOKUP(P663, DanhSachCodeId, 3, FALSE))</f>
      </c>
    </row>
    <row r="664">
      <c r="A664" s="0">
        <f>IF(B664="", "", VLOOKUP(B664, DanhSachCodeId, 3, FALSE))</f>
      </c>
      <c r="C664" s="0">
        <f>IF(B664="", "", VLOOKUP(B664, DanhSachNhanVien, 2, FALSE))</f>
      </c>
      <c r="Q664" s="0">
        <f>IF(P664="", "", VLOOKUP(P664, DanhSachNhanVien, 2, FALSE))</f>
      </c>
      <c r="Z664" s="0">
        <f>IF(D664="", "", VLOOKUP(D664, DanhSachLoaiQuyetDinhRange, 2, FALSE))</f>
      </c>
      <c r="AA664" s="0">
        <f>IF(I664="", "", VLOOKUP(I664, DanhSachPhongBanRange, 2, FALSE))</f>
      </c>
      <c r="AB664" s="0">
        <f>IF(J664="", "", VLOOKUP(J664, DanhSachChucDanhRange, 2, FALSE))</f>
      </c>
      <c r="AC664" s="0">
        <f>IF(L664="", "", VLOOKUP(L664, ThangLuongData, 2, FALSE))</f>
      </c>
      <c r="AD664" s="0">
        <f>IF(M664="", "", VLOOKUP(M664, NgachLuongData, 2, FALSE))</f>
      </c>
      <c r="AE664" s="0">
        <f>IF(N664="", "", VLOOKUP(N664, BacLuongData, 2, FALSE))</f>
      </c>
      <c r="AF664" s="0">
        <f>IF(P664="", "", VLOOKUP(P664, DanhSachCodeId, 3, FALSE))</f>
      </c>
    </row>
    <row r="665">
      <c r="A665" s="0">
        <f>IF(B665="", "", VLOOKUP(B665, DanhSachCodeId, 3, FALSE))</f>
      </c>
      <c r="C665" s="0">
        <f>IF(B665="", "", VLOOKUP(B665, DanhSachNhanVien, 2, FALSE))</f>
      </c>
      <c r="Q665" s="0">
        <f>IF(P665="", "", VLOOKUP(P665, DanhSachNhanVien, 2, FALSE))</f>
      </c>
      <c r="Z665" s="0">
        <f>IF(D665="", "", VLOOKUP(D665, DanhSachLoaiQuyetDinhRange, 2, FALSE))</f>
      </c>
      <c r="AA665" s="0">
        <f>IF(I665="", "", VLOOKUP(I665, DanhSachPhongBanRange, 2, FALSE))</f>
      </c>
      <c r="AB665" s="0">
        <f>IF(J665="", "", VLOOKUP(J665, DanhSachChucDanhRange, 2, FALSE))</f>
      </c>
      <c r="AC665" s="0">
        <f>IF(L665="", "", VLOOKUP(L665, ThangLuongData, 2, FALSE))</f>
      </c>
      <c r="AD665" s="0">
        <f>IF(M665="", "", VLOOKUP(M665, NgachLuongData, 2, FALSE))</f>
      </c>
      <c r="AE665" s="0">
        <f>IF(N665="", "", VLOOKUP(N665, BacLuongData, 2, FALSE))</f>
      </c>
      <c r="AF665" s="0">
        <f>IF(P665="", "", VLOOKUP(P665, DanhSachCodeId, 3, FALSE))</f>
      </c>
    </row>
    <row r="666">
      <c r="A666" s="0">
        <f>IF(B666="", "", VLOOKUP(B666, DanhSachCodeId, 3, FALSE))</f>
      </c>
      <c r="C666" s="0">
        <f>IF(B666="", "", VLOOKUP(B666, DanhSachNhanVien, 2, FALSE))</f>
      </c>
      <c r="Q666" s="0">
        <f>IF(P666="", "", VLOOKUP(P666, DanhSachNhanVien, 2, FALSE))</f>
      </c>
      <c r="Z666" s="0">
        <f>IF(D666="", "", VLOOKUP(D666, DanhSachLoaiQuyetDinhRange, 2, FALSE))</f>
      </c>
      <c r="AA666" s="0">
        <f>IF(I666="", "", VLOOKUP(I666, DanhSachPhongBanRange, 2, FALSE))</f>
      </c>
      <c r="AB666" s="0">
        <f>IF(J666="", "", VLOOKUP(J666, DanhSachChucDanhRange, 2, FALSE))</f>
      </c>
      <c r="AC666" s="0">
        <f>IF(L666="", "", VLOOKUP(L666, ThangLuongData, 2, FALSE))</f>
      </c>
      <c r="AD666" s="0">
        <f>IF(M666="", "", VLOOKUP(M666, NgachLuongData, 2, FALSE))</f>
      </c>
      <c r="AE666" s="0">
        <f>IF(N666="", "", VLOOKUP(N666, BacLuongData, 2, FALSE))</f>
      </c>
      <c r="AF666" s="0">
        <f>IF(P666="", "", VLOOKUP(P666, DanhSachCodeId, 3, FALSE))</f>
      </c>
    </row>
    <row r="667">
      <c r="A667" s="0">
        <f>IF(B667="", "", VLOOKUP(B667, DanhSachCodeId, 3, FALSE))</f>
      </c>
      <c r="C667" s="0">
        <f>IF(B667="", "", VLOOKUP(B667, DanhSachNhanVien, 2, FALSE))</f>
      </c>
      <c r="Q667" s="0">
        <f>IF(P667="", "", VLOOKUP(P667, DanhSachNhanVien, 2, FALSE))</f>
      </c>
      <c r="Z667" s="0">
        <f>IF(D667="", "", VLOOKUP(D667, DanhSachLoaiQuyetDinhRange, 2, FALSE))</f>
      </c>
      <c r="AA667" s="0">
        <f>IF(I667="", "", VLOOKUP(I667, DanhSachPhongBanRange, 2, FALSE))</f>
      </c>
      <c r="AB667" s="0">
        <f>IF(J667="", "", VLOOKUP(J667, DanhSachChucDanhRange, 2, FALSE))</f>
      </c>
      <c r="AC667" s="0">
        <f>IF(L667="", "", VLOOKUP(L667, ThangLuongData, 2, FALSE))</f>
      </c>
      <c r="AD667" s="0">
        <f>IF(M667="", "", VLOOKUP(M667, NgachLuongData, 2, FALSE))</f>
      </c>
      <c r="AE667" s="0">
        <f>IF(N667="", "", VLOOKUP(N667, BacLuongData, 2, FALSE))</f>
      </c>
      <c r="AF667" s="0">
        <f>IF(P667="", "", VLOOKUP(P667, DanhSachCodeId, 3, FALSE))</f>
      </c>
    </row>
    <row r="668">
      <c r="A668" s="0">
        <f>IF(B668="", "", VLOOKUP(B668, DanhSachCodeId, 3, FALSE))</f>
      </c>
      <c r="C668" s="0">
        <f>IF(B668="", "", VLOOKUP(B668, DanhSachNhanVien, 2, FALSE))</f>
      </c>
      <c r="Q668" s="0">
        <f>IF(P668="", "", VLOOKUP(P668, DanhSachNhanVien, 2, FALSE))</f>
      </c>
      <c r="Z668" s="0">
        <f>IF(D668="", "", VLOOKUP(D668, DanhSachLoaiQuyetDinhRange, 2, FALSE))</f>
      </c>
      <c r="AA668" s="0">
        <f>IF(I668="", "", VLOOKUP(I668, DanhSachPhongBanRange, 2, FALSE))</f>
      </c>
      <c r="AB668" s="0">
        <f>IF(J668="", "", VLOOKUP(J668, DanhSachChucDanhRange, 2, FALSE))</f>
      </c>
      <c r="AC668" s="0">
        <f>IF(L668="", "", VLOOKUP(L668, ThangLuongData, 2, FALSE))</f>
      </c>
      <c r="AD668" s="0">
        <f>IF(M668="", "", VLOOKUP(M668, NgachLuongData, 2, FALSE))</f>
      </c>
      <c r="AE668" s="0">
        <f>IF(N668="", "", VLOOKUP(N668, BacLuongData, 2, FALSE))</f>
      </c>
      <c r="AF668" s="0">
        <f>IF(P668="", "", VLOOKUP(P668, DanhSachCodeId, 3, FALSE))</f>
      </c>
    </row>
    <row r="669">
      <c r="A669" s="0">
        <f>IF(B669="", "", VLOOKUP(B669, DanhSachCodeId, 3, FALSE))</f>
      </c>
      <c r="C669" s="0">
        <f>IF(B669="", "", VLOOKUP(B669, DanhSachNhanVien, 2, FALSE))</f>
      </c>
      <c r="Q669" s="0">
        <f>IF(P669="", "", VLOOKUP(P669, DanhSachNhanVien, 2, FALSE))</f>
      </c>
      <c r="Z669" s="0">
        <f>IF(D669="", "", VLOOKUP(D669, DanhSachLoaiQuyetDinhRange, 2, FALSE))</f>
      </c>
      <c r="AA669" s="0">
        <f>IF(I669="", "", VLOOKUP(I669, DanhSachPhongBanRange, 2, FALSE))</f>
      </c>
      <c r="AB669" s="0">
        <f>IF(J669="", "", VLOOKUP(J669, DanhSachChucDanhRange, 2, FALSE))</f>
      </c>
      <c r="AC669" s="0">
        <f>IF(L669="", "", VLOOKUP(L669, ThangLuongData, 2, FALSE))</f>
      </c>
      <c r="AD669" s="0">
        <f>IF(M669="", "", VLOOKUP(M669, NgachLuongData, 2, FALSE))</f>
      </c>
      <c r="AE669" s="0">
        <f>IF(N669="", "", VLOOKUP(N669, BacLuongData, 2, FALSE))</f>
      </c>
      <c r="AF669" s="0">
        <f>IF(P669="", "", VLOOKUP(P669, DanhSachCodeId, 3, FALSE))</f>
      </c>
    </row>
    <row r="670">
      <c r="A670" s="0">
        <f>IF(B670="", "", VLOOKUP(B670, DanhSachCodeId, 3, FALSE))</f>
      </c>
      <c r="C670" s="0">
        <f>IF(B670="", "", VLOOKUP(B670, DanhSachNhanVien, 2, FALSE))</f>
      </c>
      <c r="Q670" s="0">
        <f>IF(P670="", "", VLOOKUP(P670, DanhSachNhanVien, 2, FALSE))</f>
      </c>
      <c r="Z670" s="0">
        <f>IF(D670="", "", VLOOKUP(D670, DanhSachLoaiQuyetDinhRange, 2, FALSE))</f>
      </c>
      <c r="AA670" s="0">
        <f>IF(I670="", "", VLOOKUP(I670, DanhSachPhongBanRange, 2, FALSE))</f>
      </c>
      <c r="AB670" s="0">
        <f>IF(J670="", "", VLOOKUP(J670, DanhSachChucDanhRange, 2, FALSE))</f>
      </c>
      <c r="AC670" s="0">
        <f>IF(L670="", "", VLOOKUP(L670, ThangLuongData, 2, FALSE))</f>
      </c>
      <c r="AD670" s="0">
        <f>IF(M670="", "", VLOOKUP(M670, NgachLuongData, 2, FALSE))</f>
      </c>
      <c r="AE670" s="0">
        <f>IF(N670="", "", VLOOKUP(N670, BacLuongData, 2, FALSE))</f>
      </c>
      <c r="AF670" s="0">
        <f>IF(P670="", "", VLOOKUP(P670, DanhSachCodeId, 3, FALSE))</f>
      </c>
    </row>
    <row r="671">
      <c r="A671" s="0">
        <f>IF(B671="", "", VLOOKUP(B671, DanhSachCodeId, 3, FALSE))</f>
      </c>
      <c r="C671" s="0">
        <f>IF(B671="", "", VLOOKUP(B671, DanhSachNhanVien, 2, FALSE))</f>
      </c>
      <c r="Q671" s="0">
        <f>IF(P671="", "", VLOOKUP(P671, DanhSachNhanVien, 2, FALSE))</f>
      </c>
      <c r="Z671" s="0">
        <f>IF(D671="", "", VLOOKUP(D671, DanhSachLoaiQuyetDinhRange, 2, FALSE))</f>
      </c>
      <c r="AA671" s="0">
        <f>IF(I671="", "", VLOOKUP(I671, DanhSachPhongBanRange, 2, FALSE))</f>
      </c>
      <c r="AB671" s="0">
        <f>IF(J671="", "", VLOOKUP(J671, DanhSachChucDanhRange, 2, FALSE))</f>
      </c>
      <c r="AC671" s="0">
        <f>IF(L671="", "", VLOOKUP(L671, ThangLuongData, 2, FALSE))</f>
      </c>
      <c r="AD671" s="0">
        <f>IF(M671="", "", VLOOKUP(M671, NgachLuongData, 2, FALSE))</f>
      </c>
      <c r="AE671" s="0">
        <f>IF(N671="", "", VLOOKUP(N671, BacLuongData, 2, FALSE))</f>
      </c>
      <c r="AF671" s="0">
        <f>IF(P671="", "", VLOOKUP(P671, DanhSachCodeId, 3, FALSE))</f>
      </c>
    </row>
    <row r="672">
      <c r="A672" s="0">
        <f>IF(B672="", "", VLOOKUP(B672, DanhSachCodeId, 3, FALSE))</f>
      </c>
      <c r="C672" s="0">
        <f>IF(B672="", "", VLOOKUP(B672, DanhSachNhanVien, 2, FALSE))</f>
      </c>
      <c r="Q672" s="0">
        <f>IF(P672="", "", VLOOKUP(P672, DanhSachNhanVien, 2, FALSE))</f>
      </c>
      <c r="Z672" s="0">
        <f>IF(D672="", "", VLOOKUP(D672, DanhSachLoaiQuyetDinhRange, 2, FALSE))</f>
      </c>
      <c r="AA672" s="0">
        <f>IF(I672="", "", VLOOKUP(I672, DanhSachPhongBanRange, 2, FALSE))</f>
      </c>
      <c r="AB672" s="0">
        <f>IF(J672="", "", VLOOKUP(J672, DanhSachChucDanhRange, 2, FALSE))</f>
      </c>
      <c r="AC672" s="0">
        <f>IF(L672="", "", VLOOKUP(L672, ThangLuongData, 2, FALSE))</f>
      </c>
      <c r="AD672" s="0">
        <f>IF(M672="", "", VLOOKUP(M672, NgachLuongData, 2, FALSE))</f>
      </c>
      <c r="AE672" s="0">
        <f>IF(N672="", "", VLOOKUP(N672, BacLuongData, 2, FALSE))</f>
      </c>
      <c r="AF672" s="0">
        <f>IF(P672="", "", VLOOKUP(P672, DanhSachCodeId, 3, FALSE))</f>
      </c>
    </row>
    <row r="673">
      <c r="A673" s="0">
        <f>IF(B673="", "", VLOOKUP(B673, DanhSachCodeId, 3, FALSE))</f>
      </c>
      <c r="C673" s="0">
        <f>IF(B673="", "", VLOOKUP(B673, DanhSachNhanVien, 2, FALSE))</f>
      </c>
      <c r="Q673" s="0">
        <f>IF(P673="", "", VLOOKUP(P673, DanhSachNhanVien, 2, FALSE))</f>
      </c>
      <c r="Z673" s="0">
        <f>IF(D673="", "", VLOOKUP(D673, DanhSachLoaiQuyetDinhRange, 2, FALSE))</f>
      </c>
      <c r="AA673" s="0">
        <f>IF(I673="", "", VLOOKUP(I673, DanhSachPhongBanRange, 2, FALSE))</f>
      </c>
      <c r="AB673" s="0">
        <f>IF(J673="", "", VLOOKUP(J673, DanhSachChucDanhRange, 2, FALSE))</f>
      </c>
      <c r="AC673" s="0">
        <f>IF(L673="", "", VLOOKUP(L673, ThangLuongData, 2, FALSE))</f>
      </c>
      <c r="AD673" s="0">
        <f>IF(M673="", "", VLOOKUP(M673, NgachLuongData, 2, FALSE))</f>
      </c>
      <c r="AE673" s="0">
        <f>IF(N673="", "", VLOOKUP(N673, BacLuongData, 2, FALSE))</f>
      </c>
      <c r="AF673" s="0">
        <f>IF(P673="", "", VLOOKUP(P673, DanhSachCodeId, 3, FALSE))</f>
      </c>
    </row>
    <row r="674">
      <c r="A674" s="0">
        <f>IF(B674="", "", VLOOKUP(B674, DanhSachCodeId, 3, FALSE))</f>
      </c>
      <c r="C674" s="0">
        <f>IF(B674="", "", VLOOKUP(B674, DanhSachNhanVien, 2, FALSE))</f>
      </c>
      <c r="Q674" s="0">
        <f>IF(P674="", "", VLOOKUP(P674, DanhSachNhanVien, 2, FALSE))</f>
      </c>
      <c r="Z674" s="0">
        <f>IF(D674="", "", VLOOKUP(D674, DanhSachLoaiQuyetDinhRange, 2, FALSE))</f>
      </c>
      <c r="AA674" s="0">
        <f>IF(I674="", "", VLOOKUP(I674, DanhSachPhongBanRange, 2, FALSE))</f>
      </c>
      <c r="AB674" s="0">
        <f>IF(J674="", "", VLOOKUP(J674, DanhSachChucDanhRange, 2, FALSE))</f>
      </c>
      <c r="AC674" s="0">
        <f>IF(L674="", "", VLOOKUP(L674, ThangLuongData, 2, FALSE))</f>
      </c>
      <c r="AD674" s="0">
        <f>IF(M674="", "", VLOOKUP(M674, NgachLuongData, 2, FALSE))</f>
      </c>
      <c r="AE674" s="0">
        <f>IF(N674="", "", VLOOKUP(N674, BacLuongData, 2, FALSE))</f>
      </c>
      <c r="AF674" s="0">
        <f>IF(P674="", "", VLOOKUP(P674, DanhSachCodeId, 3, FALSE))</f>
      </c>
    </row>
    <row r="675">
      <c r="A675" s="0">
        <f>IF(B675="", "", VLOOKUP(B675, DanhSachCodeId, 3, FALSE))</f>
      </c>
      <c r="C675" s="0">
        <f>IF(B675="", "", VLOOKUP(B675, DanhSachNhanVien, 2, FALSE))</f>
      </c>
      <c r="Q675" s="0">
        <f>IF(P675="", "", VLOOKUP(P675, DanhSachNhanVien, 2, FALSE))</f>
      </c>
      <c r="Z675" s="0">
        <f>IF(D675="", "", VLOOKUP(D675, DanhSachLoaiQuyetDinhRange, 2, FALSE))</f>
      </c>
      <c r="AA675" s="0">
        <f>IF(I675="", "", VLOOKUP(I675, DanhSachPhongBanRange, 2, FALSE))</f>
      </c>
      <c r="AB675" s="0">
        <f>IF(J675="", "", VLOOKUP(J675, DanhSachChucDanhRange, 2, FALSE))</f>
      </c>
      <c r="AC675" s="0">
        <f>IF(L675="", "", VLOOKUP(L675, ThangLuongData, 2, FALSE))</f>
      </c>
      <c r="AD675" s="0">
        <f>IF(M675="", "", VLOOKUP(M675, NgachLuongData, 2, FALSE))</f>
      </c>
      <c r="AE675" s="0">
        <f>IF(N675="", "", VLOOKUP(N675, BacLuongData, 2, FALSE))</f>
      </c>
      <c r="AF675" s="0">
        <f>IF(P675="", "", VLOOKUP(P675, DanhSachCodeId, 3, FALSE))</f>
      </c>
    </row>
    <row r="676">
      <c r="A676" s="0">
        <f>IF(B676="", "", VLOOKUP(B676, DanhSachCodeId, 3, FALSE))</f>
      </c>
      <c r="C676" s="0">
        <f>IF(B676="", "", VLOOKUP(B676, DanhSachNhanVien, 2, FALSE))</f>
      </c>
      <c r="Q676" s="0">
        <f>IF(P676="", "", VLOOKUP(P676, DanhSachNhanVien, 2, FALSE))</f>
      </c>
      <c r="Z676" s="0">
        <f>IF(D676="", "", VLOOKUP(D676, DanhSachLoaiQuyetDinhRange, 2, FALSE))</f>
      </c>
      <c r="AA676" s="0">
        <f>IF(I676="", "", VLOOKUP(I676, DanhSachPhongBanRange, 2, FALSE))</f>
      </c>
      <c r="AB676" s="0">
        <f>IF(J676="", "", VLOOKUP(J676, DanhSachChucDanhRange, 2, FALSE))</f>
      </c>
      <c r="AC676" s="0">
        <f>IF(L676="", "", VLOOKUP(L676, ThangLuongData, 2, FALSE))</f>
      </c>
      <c r="AD676" s="0">
        <f>IF(M676="", "", VLOOKUP(M676, NgachLuongData, 2, FALSE))</f>
      </c>
      <c r="AE676" s="0">
        <f>IF(N676="", "", VLOOKUP(N676, BacLuongData, 2, FALSE))</f>
      </c>
      <c r="AF676" s="0">
        <f>IF(P676="", "", VLOOKUP(P676, DanhSachCodeId, 3, FALSE))</f>
      </c>
    </row>
    <row r="677">
      <c r="A677" s="0">
        <f>IF(B677="", "", VLOOKUP(B677, DanhSachCodeId, 3, FALSE))</f>
      </c>
      <c r="C677" s="0">
        <f>IF(B677="", "", VLOOKUP(B677, DanhSachNhanVien, 2, FALSE))</f>
      </c>
      <c r="Q677" s="0">
        <f>IF(P677="", "", VLOOKUP(P677, DanhSachNhanVien, 2, FALSE))</f>
      </c>
      <c r="Z677" s="0">
        <f>IF(D677="", "", VLOOKUP(D677, DanhSachLoaiQuyetDinhRange, 2, FALSE))</f>
      </c>
      <c r="AA677" s="0">
        <f>IF(I677="", "", VLOOKUP(I677, DanhSachPhongBanRange, 2, FALSE))</f>
      </c>
      <c r="AB677" s="0">
        <f>IF(J677="", "", VLOOKUP(J677, DanhSachChucDanhRange, 2, FALSE))</f>
      </c>
      <c r="AC677" s="0">
        <f>IF(L677="", "", VLOOKUP(L677, ThangLuongData, 2, FALSE))</f>
      </c>
      <c r="AD677" s="0">
        <f>IF(M677="", "", VLOOKUP(M677, NgachLuongData, 2, FALSE))</f>
      </c>
      <c r="AE677" s="0">
        <f>IF(N677="", "", VLOOKUP(N677, BacLuongData, 2, FALSE))</f>
      </c>
      <c r="AF677" s="0">
        <f>IF(P677="", "", VLOOKUP(P677, DanhSachCodeId, 3, FALSE))</f>
      </c>
    </row>
    <row r="678">
      <c r="A678" s="0">
        <f>IF(B678="", "", VLOOKUP(B678, DanhSachCodeId, 3, FALSE))</f>
      </c>
      <c r="C678" s="0">
        <f>IF(B678="", "", VLOOKUP(B678, DanhSachNhanVien, 2, FALSE))</f>
      </c>
      <c r="Q678" s="0">
        <f>IF(P678="", "", VLOOKUP(P678, DanhSachNhanVien, 2, FALSE))</f>
      </c>
      <c r="Z678" s="0">
        <f>IF(D678="", "", VLOOKUP(D678, DanhSachLoaiQuyetDinhRange, 2, FALSE))</f>
      </c>
      <c r="AA678" s="0">
        <f>IF(I678="", "", VLOOKUP(I678, DanhSachPhongBanRange, 2, FALSE))</f>
      </c>
      <c r="AB678" s="0">
        <f>IF(J678="", "", VLOOKUP(J678, DanhSachChucDanhRange, 2, FALSE))</f>
      </c>
      <c r="AC678" s="0">
        <f>IF(L678="", "", VLOOKUP(L678, ThangLuongData, 2, FALSE))</f>
      </c>
      <c r="AD678" s="0">
        <f>IF(M678="", "", VLOOKUP(M678, NgachLuongData, 2, FALSE))</f>
      </c>
      <c r="AE678" s="0">
        <f>IF(N678="", "", VLOOKUP(N678, BacLuongData, 2, FALSE))</f>
      </c>
      <c r="AF678" s="0">
        <f>IF(P678="", "", VLOOKUP(P678, DanhSachCodeId, 3, FALSE))</f>
      </c>
    </row>
    <row r="679">
      <c r="A679" s="0">
        <f>IF(B679="", "", VLOOKUP(B679, DanhSachCodeId, 3, FALSE))</f>
      </c>
      <c r="C679" s="0">
        <f>IF(B679="", "", VLOOKUP(B679, DanhSachNhanVien, 2, FALSE))</f>
      </c>
      <c r="Q679" s="0">
        <f>IF(P679="", "", VLOOKUP(P679, DanhSachNhanVien, 2, FALSE))</f>
      </c>
      <c r="Z679" s="0">
        <f>IF(D679="", "", VLOOKUP(D679, DanhSachLoaiQuyetDinhRange, 2, FALSE))</f>
      </c>
      <c r="AA679" s="0">
        <f>IF(I679="", "", VLOOKUP(I679, DanhSachPhongBanRange, 2, FALSE))</f>
      </c>
      <c r="AB679" s="0">
        <f>IF(J679="", "", VLOOKUP(J679, DanhSachChucDanhRange, 2, FALSE))</f>
      </c>
      <c r="AC679" s="0">
        <f>IF(L679="", "", VLOOKUP(L679, ThangLuongData, 2, FALSE))</f>
      </c>
      <c r="AD679" s="0">
        <f>IF(M679="", "", VLOOKUP(M679, NgachLuongData, 2, FALSE))</f>
      </c>
      <c r="AE679" s="0">
        <f>IF(N679="", "", VLOOKUP(N679, BacLuongData, 2, FALSE))</f>
      </c>
      <c r="AF679" s="0">
        <f>IF(P679="", "", VLOOKUP(P679, DanhSachCodeId, 3, FALSE))</f>
      </c>
    </row>
    <row r="680">
      <c r="A680" s="0">
        <f>IF(B680="", "", VLOOKUP(B680, DanhSachCodeId, 3, FALSE))</f>
      </c>
      <c r="C680" s="0">
        <f>IF(B680="", "", VLOOKUP(B680, DanhSachNhanVien, 2, FALSE))</f>
      </c>
      <c r="Q680" s="0">
        <f>IF(P680="", "", VLOOKUP(P680, DanhSachNhanVien, 2, FALSE))</f>
      </c>
      <c r="Z680" s="0">
        <f>IF(D680="", "", VLOOKUP(D680, DanhSachLoaiQuyetDinhRange, 2, FALSE))</f>
      </c>
      <c r="AA680" s="0">
        <f>IF(I680="", "", VLOOKUP(I680, DanhSachPhongBanRange, 2, FALSE))</f>
      </c>
      <c r="AB680" s="0">
        <f>IF(J680="", "", VLOOKUP(J680, DanhSachChucDanhRange, 2, FALSE))</f>
      </c>
      <c r="AC680" s="0">
        <f>IF(L680="", "", VLOOKUP(L680, ThangLuongData, 2, FALSE))</f>
      </c>
      <c r="AD680" s="0">
        <f>IF(M680="", "", VLOOKUP(M680, NgachLuongData, 2, FALSE))</f>
      </c>
      <c r="AE680" s="0">
        <f>IF(N680="", "", VLOOKUP(N680, BacLuongData, 2, FALSE))</f>
      </c>
      <c r="AF680" s="0">
        <f>IF(P680="", "", VLOOKUP(P680, DanhSachCodeId, 3, FALSE))</f>
      </c>
    </row>
    <row r="681">
      <c r="A681" s="0">
        <f>IF(B681="", "", VLOOKUP(B681, DanhSachCodeId, 3, FALSE))</f>
      </c>
      <c r="C681" s="0">
        <f>IF(B681="", "", VLOOKUP(B681, DanhSachNhanVien, 2, FALSE))</f>
      </c>
      <c r="Q681" s="0">
        <f>IF(P681="", "", VLOOKUP(P681, DanhSachNhanVien, 2, FALSE))</f>
      </c>
      <c r="Z681" s="0">
        <f>IF(D681="", "", VLOOKUP(D681, DanhSachLoaiQuyetDinhRange, 2, FALSE))</f>
      </c>
      <c r="AA681" s="0">
        <f>IF(I681="", "", VLOOKUP(I681, DanhSachPhongBanRange, 2, FALSE))</f>
      </c>
      <c r="AB681" s="0">
        <f>IF(J681="", "", VLOOKUP(J681, DanhSachChucDanhRange, 2, FALSE))</f>
      </c>
      <c r="AC681" s="0">
        <f>IF(L681="", "", VLOOKUP(L681, ThangLuongData, 2, FALSE))</f>
      </c>
      <c r="AD681" s="0">
        <f>IF(M681="", "", VLOOKUP(M681, NgachLuongData, 2, FALSE))</f>
      </c>
      <c r="AE681" s="0">
        <f>IF(N681="", "", VLOOKUP(N681, BacLuongData, 2, FALSE))</f>
      </c>
      <c r="AF681" s="0">
        <f>IF(P681="", "", VLOOKUP(P681, DanhSachCodeId, 3, FALSE))</f>
      </c>
    </row>
    <row r="682">
      <c r="A682" s="0">
        <f>IF(B682="", "", VLOOKUP(B682, DanhSachCodeId, 3, FALSE))</f>
      </c>
      <c r="C682" s="0">
        <f>IF(B682="", "", VLOOKUP(B682, DanhSachNhanVien, 2, FALSE))</f>
      </c>
      <c r="Q682" s="0">
        <f>IF(P682="", "", VLOOKUP(P682, DanhSachNhanVien, 2, FALSE))</f>
      </c>
      <c r="Z682" s="0">
        <f>IF(D682="", "", VLOOKUP(D682, DanhSachLoaiQuyetDinhRange, 2, FALSE))</f>
      </c>
      <c r="AA682" s="0">
        <f>IF(I682="", "", VLOOKUP(I682, DanhSachPhongBanRange, 2, FALSE))</f>
      </c>
      <c r="AB682" s="0">
        <f>IF(J682="", "", VLOOKUP(J682, DanhSachChucDanhRange, 2, FALSE))</f>
      </c>
      <c r="AC682" s="0">
        <f>IF(L682="", "", VLOOKUP(L682, ThangLuongData, 2, FALSE))</f>
      </c>
      <c r="AD682" s="0">
        <f>IF(M682="", "", VLOOKUP(M682, NgachLuongData, 2, FALSE))</f>
      </c>
      <c r="AE682" s="0">
        <f>IF(N682="", "", VLOOKUP(N682, BacLuongData, 2, FALSE))</f>
      </c>
      <c r="AF682" s="0">
        <f>IF(P682="", "", VLOOKUP(P682, DanhSachCodeId, 3, FALSE))</f>
      </c>
    </row>
    <row r="683">
      <c r="A683" s="0">
        <f>IF(B683="", "", VLOOKUP(B683, DanhSachCodeId, 3, FALSE))</f>
      </c>
      <c r="C683" s="0">
        <f>IF(B683="", "", VLOOKUP(B683, DanhSachNhanVien, 2, FALSE))</f>
      </c>
      <c r="Q683" s="0">
        <f>IF(P683="", "", VLOOKUP(P683, DanhSachNhanVien, 2, FALSE))</f>
      </c>
      <c r="Z683" s="0">
        <f>IF(D683="", "", VLOOKUP(D683, DanhSachLoaiQuyetDinhRange, 2, FALSE))</f>
      </c>
      <c r="AA683" s="0">
        <f>IF(I683="", "", VLOOKUP(I683, DanhSachPhongBanRange, 2, FALSE))</f>
      </c>
      <c r="AB683" s="0">
        <f>IF(J683="", "", VLOOKUP(J683, DanhSachChucDanhRange, 2, FALSE))</f>
      </c>
      <c r="AC683" s="0">
        <f>IF(L683="", "", VLOOKUP(L683, ThangLuongData, 2, FALSE))</f>
      </c>
      <c r="AD683" s="0">
        <f>IF(M683="", "", VLOOKUP(M683, NgachLuongData, 2, FALSE))</f>
      </c>
      <c r="AE683" s="0">
        <f>IF(N683="", "", VLOOKUP(N683, BacLuongData, 2, FALSE))</f>
      </c>
      <c r="AF683" s="0">
        <f>IF(P683="", "", VLOOKUP(P683, DanhSachCodeId, 3, FALSE))</f>
      </c>
    </row>
    <row r="684">
      <c r="A684" s="0">
        <f>IF(B684="", "", VLOOKUP(B684, DanhSachCodeId, 3, FALSE))</f>
      </c>
      <c r="C684" s="0">
        <f>IF(B684="", "", VLOOKUP(B684, DanhSachNhanVien, 2, FALSE))</f>
      </c>
      <c r="Q684" s="0">
        <f>IF(P684="", "", VLOOKUP(P684, DanhSachNhanVien, 2, FALSE))</f>
      </c>
      <c r="Z684" s="0">
        <f>IF(D684="", "", VLOOKUP(D684, DanhSachLoaiQuyetDinhRange, 2, FALSE))</f>
      </c>
      <c r="AA684" s="0">
        <f>IF(I684="", "", VLOOKUP(I684, DanhSachPhongBanRange, 2, FALSE))</f>
      </c>
      <c r="AB684" s="0">
        <f>IF(J684="", "", VLOOKUP(J684, DanhSachChucDanhRange, 2, FALSE))</f>
      </c>
      <c r="AC684" s="0">
        <f>IF(L684="", "", VLOOKUP(L684, ThangLuongData, 2, FALSE))</f>
      </c>
      <c r="AD684" s="0">
        <f>IF(M684="", "", VLOOKUP(M684, NgachLuongData, 2, FALSE))</f>
      </c>
      <c r="AE684" s="0">
        <f>IF(N684="", "", VLOOKUP(N684, BacLuongData, 2, FALSE))</f>
      </c>
      <c r="AF684" s="0">
        <f>IF(P684="", "", VLOOKUP(P684, DanhSachCodeId, 3, FALSE))</f>
      </c>
    </row>
    <row r="685">
      <c r="A685" s="0">
        <f>IF(B685="", "", VLOOKUP(B685, DanhSachCodeId, 3, FALSE))</f>
      </c>
      <c r="C685" s="0">
        <f>IF(B685="", "", VLOOKUP(B685, DanhSachNhanVien, 2, FALSE))</f>
      </c>
      <c r="Q685" s="0">
        <f>IF(P685="", "", VLOOKUP(P685, DanhSachNhanVien, 2, FALSE))</f>
      </c>
      <c r="Z685" s="0">
        <f>IF(D685="", "", VLOOKUP(D685, DanhSachLoaiQuyetDinhRange, 2, FALSE))</f>
      </c>
      <c r="AA685" s="0">
        <f>IF(I685="", "", VLOOKUP(I685, DanhSachPhongBanRange, 2, FALSE))</f>
      </c>
      <c r="AB685" s="0">
        <f>IF(J685="", "", VLOOKUP(J685, DanhSachChucDanhRange, 2, FALSE))</f>
      </c>
      <c r="AC685" s="0">
        <f>IF(L685="", "", VLOOKUP(L685, ThangLuongData, 2, FALSE))</f>
      </c>
      <c r="AD685" s="0">
        <f>IF(M685="", "", VLOOKUP(M685, NgachLuongData, 2, FALSE))</f>
      </c>
      <c r="AE685" s="0">
        <f>IF(N685="", "", VLOOKUP(N685, BacLuongData, 2, FALSE))</f>
      </c>
      <c r="AF685" s="0">
        <f>IF(P685="", "", VLOOKUP(P685, DanhSachCodeId, 3, FALSE))</f>
      </c>
    </row>
    <row r="686">
      <c r="A686" s="0">
        <f>IF(B686="", "", VLOOKUP(B686, DanhSachCodeId, 3, FALSE))</f>
      </c>
      <c r="C686" s="0">
        <f>IF(B686="", "", VLOOKUP(B686, DanhSachNhanVien, 2, FALSE))</f>
      </c>
      <c r="Q686" s="0">
        <f>IF(P686="", "", VLOOKUP(P686, DanhSachNhanVien, 2, FALSE))</f>
      </c>
      <c r="Z686" s="0">
        <f>IF(D686="", "", VLOOKUP(D686, DanhSachLoaiQuyetDinhRange, 2, FALSE))</f>
      </c>
      <c r="AA686" s="0">
        <f>IF(I686="", "", VLOOKUP(I686, DanhSachPhongBanRange, 2, FALSE))</f>
      </c>
      <c r="AB686" s="0">
        <f>IF(J686="", "", VLOOKUP(J686, DanhSachChucDanhRange, 2, FALSE))</f>
      </c>
      <c r="AC686" s="0">
        <f>IF(L686="", "", VLOOKUP(L686, ThangLuongData, 2, FALSE))</f>
      </c>
      <c r="AD686" s="0">
        <f>IF(M686="", "", VLOOKUP(M686, NgachLuongData, 2, FALSE))</f>
      </c>
      <c r="AE686" s="0">
        <f>IF(N686="", "", VLOOKUP(N686, BacLuongData, 2, FALSE))</f>
      </c>
      <c r="AF686" s="0">
        <f>IF(P686="", "", VLOOKUP(P686, DanhSachCodeId, 3, FALSE))</f>
      </c>
    </row>
    <row r="687">
      <c r="A687" s="0">
        <f>IF(B687="", "", VLOOKUP(B687, DanhSachCodeId, 3, FALSE))</f>
      </c>
      <c r="C687" s="0">
        <f>IF(B687="", "", VLOOKUP(B687, DanhSachNhanVien, 2, FALSE))</f>
      </c>
      <c r="Q687" s="0">
        <f>IF(P687="", "", VLOOKUP(P687, DanhSachNhanVien, 2, FALSE))</f>
      </c>
      <c r="Z687" s="0">
        <f>IF(D687="", "", VLOOKUP(D687, DanhSachLoaiQuyetDinhRange, 2, FALSE))</f>
      </c>
      <c r="AA687" s="0">
        <f>IF(I687="", "", VLOOKUP(I687, DanhSachPhongBanRange, 2, FALSE))</f>
      </c>
      <c r="AB687" s="0">
        <f>IF(J687="", "", VLOOKUP(J687, DanhSachChucDanhRange, 2, FALSE))</f>
      </c>
      <c r="AC687" s="0">
        <f>IF(L687="", "", VLOOKUP(L687, ThangLuongData, 2, FALSE))</f>
      </c>
      <c r="AD687" s="0">
        <f>IF(M687="", "", VLOOKUP(M687, NgachLuongData, 2, FALSE))</f>
      </c>
      <c r="AE687" s="0">
        <f>IF(N687="", "", VLOOKUP(N687, BacLuongData, 2, FALSE))</f>
      </c>
      <c r="AF687" s="0">
        <f>IF(P687="", "", VLOOKUP(P687, DanhSachCodeId, 3, FALSE))</f>
      </c>
    </row>
    <row r="688">
      <c r="A688" s="0">
        <f>IF(B688="", "", VLOOKUP(B688, DanhSachCodeId, 3, FALSE))</f>
      </c>
      <c r="C688" s="0">
        <f>IF(B688="", "", VLOOKUP(B688, DanhSachNhanVien, 2, FALSE))</f>
      </c>
      <c r="Q688" s="0">
        <f>IF(P688="", "", VLOOKUP(P688, DanhSachNhanVien, 2, FALSE))</f>
      </c>
      <c r="Z688" s="0">
        <f>IF(D688="", "", VLOOKUP(D688, DanhSachLoaiQuyetDinhRange, 2, FALSE))</f>
      </c>
      <c r="AA688" s="0">
        <f>IF(I688="", "", VLOOKUP(I688, DanhSachPhongBanRange, 2, FALSE))</f>
      </c>
      <c r="AB688" s="0">
        <f>IF(J688="", "", VLOOKUP(J688, DanhSachChucDanhRange, 2, FALSE))</f>
      </c>
      <c r="AC688" s="0">
        <f>IF(L688="", "", VLOOKUP(L688, ThangLuongData, 2, FALSE))</f>
      </c>
      <c r="AD688" s="0">
        <f>IF(M688="", "", VLOOKUP(M688, NgachLuongData, 2, FALSE))</f>
      </c>
      <c r="AE688" s="0">
        <f>IF(N688="", "", VLOOKUP(N688, BacLuongData, 2, FALSE))</f>
      </c>
      <c r="AF688" s="0">
        <f>IF(P688="", "", VLOOKUP(P688, DanhSachCodeId, 3, FALSE))</f>
      </c>
    </row>
    <row r="689">
      <c r="A689" s="0">
        <f>IF(B689="", "", VLOOKUP(B689, DanhSachCodeId, 3, FALSE))</f>
      </c>
      <c r="C689" s="0">
        <f>IF(B689="", "", VLOOKUP(B689, DanhSachNhanVien, 2, FALSE))</f>
      </c>
      <c r="Q689" s="0">
        <f>IF(P689="", "", VLOOKUP(P689, DanhSachNhanVien, 2, FALSE))</f>
      </c>
      <c r="Z689" s="0">
        <f>IF(D689="", "", VLOOKUP(D689, DanhSachLoaiQuyetDinhRange, 2, FALSE))</f>
      </c>
      <c r="AA689" s="0">
        <f>IF(I689="", "", VLOOKUP(I689, DanhSachPhongBanRange, 2, FALSE))</f>
      </c>
      <c r="AB689" s="0">
        <f>IF(J689="", "", VLOOKUP(J689, DanhSachChucDanhRange, 2, FALSE))</f>
      </c>
      <c r="AC689" s="0">
        <f>IF(L689="", "", VLOOKUP(L689, ThangLuongData, 2, FALSE))</f>
      </c>
      <c r="AD689" s="0">
        <f>IF(M689="", "", VLOOKUP(M689, NgachLuongData, 2, FALSE))</f>
      </c>
      <c r="AE689" s="0">
        <f>IF(N689="", "", VLOOKUP(N689, BacLuongData, 2, FALSE))</f>
      </c>
      <c r="AF689" s="0">
        <f>IF(P689="", "", VLOOKUP(P689, DanhSachCodeId, 3, FALSE))</f>
      </c>
    </row>
    <row r="690">
      <c r="A690" s="0">
        <f>IF(B690="", "", VLOOKUP(B690, DanhSachCodeId, 3, FALSE))</f>
      </c>
      <c r="C690" s="0">
        <f>IF(B690="", "", VLOOKUP(B690, DanhSachNhanVien, 2, FALSE))</f>
      </c>
      <c r="Q690" s="0">
        <f>IF(P690="", "", VLOOKUP(P690, DanhSachNhanVien, 2, FALSE))</f>
      </c>
      <c r="Z690" s="0">
        <f>IF(D690="", "", VLOOKUP(D690, DanhSachLoaiQuyetDinhRange, 2, FALSE))</f>
      </c>
      <c r="AA690" s="0">
        <f>IF(I690="", "", VLOOKUP(I690, DanhSachPhongBanRange, 2, FALSE))</f>
      </c>
      <c r="AB690" s="0">
        <f>IF(J690="", "", VLOOKUP(J690, DanhSachChucDanhRange, 2, FALSE))</f>
      </c>
      <c r="AC690" s="0">
        <f>IF(L690="", "", VLOOKUP(L690, ThangLuongData, 2, FALSE))</f>
      </c>
      <c r="AD690" s="0">
        <f>IF(M690="", "", VLOOKUP(M690, NgachLuongData, 2, FALSE))</f>
      </c>
      <c r="AE690" s="0">
        <f>IF(N690="", "", VLOOKUP(N690, BacLuongData, 2, FALSE))</f>
      </c>
      <c r="AF690" s="0">
        <f>IF(P690="", "", VLOOKUP(P690, DanhSachCodeId, 3, FALSE))</f>
      </c>
    </row>
    <row r="691">
      <c r="A691" s="0">
        <f>IF(B691="", "", VLOOKUP(B691, DanhSachCodeId, 3, FALSE))</f>
      </c>
      <c r="C691" s="0">
        <f>IF(B691="", "", VLOOKUP(B691, DanhSachNhanVien, 2, FALSE))</f>
      </c>
      <c r="Q691" s="0">
        <f>IF(P691="", "", VLOOKUP(P691, DanhSachNhanVien, 2, FALSE))</f>
      </c>
      <c r="Z691" s="0">
        <f>IF(D691="", "", VLOOKUP(D691, DanhSachLoaiQuyetDinhRange, 2, FALSE))</f>
      </c>
      <c r="AA691" s="0">
        <f>IF(I691="", "", VLOOKUP(I691, DanhSachPhongBanRange, 2, FALSE))</f>
      </c>
      <c r="AB691" s="0">
        <f>IF(J691="", "", VLOOKUP(J691, DanhSachChucDanhRange, 2, FALSE))</f>
      </c>
      <c r="AC691" s="0">
        <f>IF(L691="", "", VLOOKUP(L691, ThangLuongData, 2, FALSE))</f>
      </c>
      <c r="AD691" s="0">
        <f>IF(M691="", "", VLOOKUP(M691, NgachLuongData, 2, FALSE))</f>
      </c>
      <c r="AE691" s="0">
        <f>IF(N691="", "", VLOOKUP(N691, BacLuongData, 2, FALSE))</f>
      </c>
      <c r="AF691" s="0">
        <f>IF(P691="", "", VLOOKUP(P691, DanhSachCodeId, 3, FALSE))</f>
      </c>
    </row>
    <row r="692">
      <c r="A692" s="0">
        <f>IF(B692="", "", VLOOKUP(B692, DanhSachCodeId, 3, FALSE))</f>
      </c>
      <c r="C692" s="0">
        <f>IF(B692="", "", VLOOKUP(B692, DanhSachNhanVien, 2, FALSE))</f>
      </c>
      <c r="Q692" s="0">
        <f>IF(P692="", "", VLOOKUP(P692, DanhSachNhanVien, 2, FALSE))</f>
      </c>
      <c r="Z692" s="0">
        <f>IF(D692="", "", VLOOKUP(D692, DanhSachLoaiQuyetDinhRange, 2, FALSE))</f>
      </c>
      <c r="AA692" s="0">
        <f>IF(I692="", "", VLOOKUP(I692, DanhSachPhongBanRange, 2, FALSE))</f>
      </c>
      <c r="AB692" s="0">
        <f>IF(J692="", "", VLOOKUP(J692, DanhSachChucDanhRange, 2, FALSE))</f>
      </c>
      <c r="AC692" s="0">
        <f>IF(L692="", "", VLOOKUP(L692, ThangLuongData, 2, FALSE))</f>
      </c>
      <c r="AD692" s="0">
        <f>IF(M692="", "", VLOOKUP(M692, NgachLuongData, 2, FALSE))</f>
      </c>
      <c r="AE692" s="0">
        <f>IF(N692="", "", VLOOKUP(N692, BacLuongData, 2, FALSE))</f>
      </c>
      <c r="AF692" s="0">
        <f>IF(P692="", "", VLOOKUP(P692, DanhSachCodeId, 3, FALSE))</f>
      </c>
    </row>
    <row r="693">
      <c r="A693" s="0">
        <f>IF(B693="", "", VLOOKUP(B693, DanhSachCodeId, 3, FALSE))</f>
      </c>
      <c r="C693" s="0">
        <f>IF(B693="", "", VLOOKUP(B693, DanhSachNhanVien, 2, FALSE))</f>
      </c>
      <c r="Q693" s="0">
        <f>IF(P693="", "", VLOOKUP(P693, DanhSachNhanVien, 2, FALSE))</f>
      </c>
      <c r="Z693" s="0">
        <f>IF(D693="", "", VLOOKUP(D693, DanhSachLoaiQuyetDinhRange, 2, FALSE))</f>
      </c>
      <c r="AA693" s="0">
        <f>IF(I693="", "", VLOOKUP(I693, DanhSachPhongBanRange, 2, FALSE))</f>
      </c>
      <c r="AB693" s="0">
        <f>IF(J693="", "", VLOOKUP(J693, DanhSachChucDanhRange, 2, FALSE))</f>
      </c>
      <c r="AC693" s="0">
        <f>IF(L693="", "", VLOOKUP(L693, ThangLuongData, 2, FALSE))</f>
      </c>
      <c r="AD693" s="0">
        <f>IF(M693="", "", VLOOKUP(M693, NgachLuongData, 2, FALSE))</f>
      </c>
      <c r="AE693" s="0">
        <f>IF(N693="", "", VLOOKUP(N693, BacLuongData, 2, FALSE))</f>
      </c>
      <c r="AF693" s="0">
        <f>IF(P693="", "", VLOOKUP(P693, DanhSachCodeId, 3, FALSE))</f>
      </c>
    </row>
    <row r="694">
      <c r="A694" s="0">
        <f>IF(B694="", "", VLOOKUP(B694, DanhSachCodeId, 3, FALSE))</f>
      </c>
      <c r="C694" s="0">
        <f>IF(B694="", "", VLOOKUP(B694, DanhSachNhanVien, 2, FALSE))</f>
      </c>
      <c r="Q694" s="0">
        <f>IF(P694="", "", VLOOKUP(P694, DanhSachNhanVien, 2, FALSE))</f>
      </c>
      <c r="Z694" s="0">
        <f>IF(D694="", "", VLOOKUP(D694, DanhSachLoaiQuyetDinhRange, 2, FALSE))</f>
      </c>
      <c r="AA694" s="0">
        <f>IF(I694="", "", VLOOKUP(I694, DanhSachPhongBanRange, 2, FALSE))</f>
      </c>
      <c r="AB694" s="0">
        <f>IF(J694="", "", VLOOKUP(J694, DanhSachChucDanhRange, 2, FALSE))</f>
      </c>
      <c r="AC694" s="0">
        <f>IF(L694="", "", VLOOKUP(L694, ThangLuongData, 2, FALSE))</f>
      </c>
      <c r="AD694" s="0">
        <f>IF(M694="", "", VLOOKUP(M694, NgachLuongData, 2, FALSE))</f>
      </c>
      <c r="AE694" s="0">
        <f>IF(N694="", "", VLOOKUP(N694, BacLuongData, 2, FALSE))</f>
      </c>
      <c r="AF694" s="0">
        <f>IF(P694="", "", VLOOKUP(P694, DanhSachCodeId, 3, FALSE))</f>
      </c>
    </row>
    <row r="695">
      <c r="A695" s="0">
        <f>IF(B695="", "", VLOOKUP(B695, DanhSachCodeId, 3, FALSE))</f>
      </c>
      <c r="C695" s="0">
        <f>IF(B695="", "", VLOOKUP(B695, DanhSachNhanVien, 2, FALSE))</f>
      </c>
      <c r="Q695" s="0">
        <f>IF(P695="", "", VLOOKUP(P695, DanhSachNhanVien, 2, FALSE))</f>
      </c>
      <c r="Z695" s="0">
        <f>IF(D695="", "", VLOOKUP(D695, DanhSachLoaiQuyetDinhRange, 2, FALSE))</f>
      </c>
      <c r="AA695" s="0">
        <f>IF(I695="", "", VLOOKUP(I695, DanhSachPhongBanRange, 2, FALSE))</f>
      </c>
      <c r="AB695" s="0">
        <f>IF(J695="", "", VLOOKUP(J695, DanhSachChucDanhRange, 2, FALSE))</f>
      </c>
      <c r="AC695" s="0">
        <f>IF(L695="", "", VLOOKUP(L695, ThangLuongData, 2, FALSE))</f>
      </c>
      <c r="AD695" s="0">
        <f>IF(M695="", "", VLOOKUP(M695, NgachLuongData, 2, FALSE))</f>
      </c>
      <c r="AE695" s="0">
        <f>IF(N695="", "", VLOOKUP(N695, BacLuongData, 2, FALSE))</f>
      </c>
      <c r="AF695" s="0">
        <f>IF(P695="", "", VLOOKUP(P695, DanhSachCodeId, 3, FALSE))</f>
      </c>
    </row>
    <row r="696">
      <c r="A696" s="0">
        <f>IF(B696="", "", VLOOKUP(B696, DanhSachCodeId, 3, FALSE))</f>
      </c>
      <c r="C696" s="0">
        <f>IF(B696="", "", VLOOKUP(B696, DanhSachNhanVien, 2, FALSE))</f>
      </c>
      <c r="Q696" s="0">
        <f>IF(P696="", "", VLOOKUP(P696, DanhSachNhanVien, 2, FALSE))</f>
      </c>
      <c r="Z696" s="0">
        <f>IF(D696="", "", VLOOKUP(D696, DanhSachLoaiQuyetDinhRange, 2, FALSE))</f>
      </c>
      <c r="AA696" s="0">
        <f>IF(I696="", "", VLOOKUP(I696, DanhSachPhongBanRange, 2, FALSE))</f>
      </c>
      <c r="AB696" s="0">
        <f>IF(J696="", "", VLOOKUP(J696, DanhSachChucDanhRange, 2, FALSE))</f>
      </c>
      <c r="AC696" s="0">
        <f>IF(L696="", "", VLOOKUP(L696, ThangLuongData, 2, FALSE))</f>
      </c>
      <c r="AD696" s="0">
        <f>IF(M696="", "", VLOOKUP(M696, NgachLuongData, 2, FALSE))</f>
      </c>
      <c r="AE696" s="0">
        <f>IF(N696="", "", VLOOKUP(N696, BacLuongData, 2, FALSE))</f>
      </c>
      <c r="AF696" s="0">
        <f>IF(P696="", "", VLOOKUP(P696, DanhSachCodeId, 3, FALSE))</f>
      </c>
    </row>
    <row r="697">
      <c r="A697" s="0">
        <f>IF(B697="", "", VLOOKUP(B697, DanhSachCodeId, 3, FALSE))</f>
      </c>
      <c r="C697" s="0">
        <f>IF(B697="", "", VLOOKUP(B697, DanhSachNhanVien, 2, FALSE))</f>
      </c>
      <c r="Q697" s="0">
        <f>IF(P697="", "", VLOOKUP(P697, DanhSachNhanVien, 2, FALSE))</f>
      </c>
      <c r="Z697" s="0">
        <f>IF(D697="", "", VLOOKUP(D697, DanhSachLoaiQuyetDinhRange, 2, FALSE))</f>
      </c>
      <c r="AA697" s="0">
        <f>IF(I697="", "", VLOOKUP(I697, DanhSachPhongBanRange, 2, FALSE))</f>
      </c>
      <c r="AB697" s="0">
        <f>IF(J697="", "", VLOOKUP(J697, DanhSachChucDanhRange, 2, FALSE))</f>
      </c>
      <c r="AC697" s="0">
        <f>IF(L697="", "", VLOOKUP(L697, ThangLuongData, 2, FALSE))</f>
      </c>
      <c r="AD697" s="0">
        <f>IF(M697="", "", VLOOKUP(M697, NgachLuongData, 2, FALSE))</f>
      </c>
      <c r="AE697" s="0">
        <f>IF(N697="", "", VLOOKUP(N697, BacLuongData, 2, FALSE))</f>
      </c>
      <c r="AF697" s="0">
        <f>IF(P697="", "", VLOOKUP(P697, DanhSachCodeId, 3, FALSE))</f>
      </c>
    </row>
    <row r="698">
      <c r="A698" s="0">
        <f>IF(B698="", "", VLOOKUP(B698, DanhSachCodeId, 3, FALSE))</f>
      </c>
      <c r="C698" s="0">
        <f>IF(B698="", "", VLOOKUP(B698, DanhSachNhanVien, 2, FALSE))</f>
      </c>
      <c r="Q698" s="0">
        <f>IF(P698="", "", VLOOKUP(P698, DanhSachNhanVien, 2, FALSE))</f>
      </c>
      <c r="Z698" s="0">
        <f>IF(D698="", "", VLOOKUP(D698, DanhSachLoaiQuyetDinhRange, 2, FALSE))</f>
      </c>
      <c r="AA698" s="0">
        <f>IF(I698="", "", VLOOKUP(I698, DanhSachPhongBanRange, 2, FALSE))</f>
      </c>
      <c r="AB698" s="0">
        <f>IF(J698="", "", VLOOKUP(J698, DanhSachChucDanhRange, 2, FALSE))</f>
      </c>
      <c r="AC698" s="0">
        <f>IF(L698="", "", VLOOKUP(L698, ThangLuongData, 2, FALSE))</f>
      </c>
      <c r="AD698" s="0">
        <f>IF(M698="", "", VLOOKUP(M698, NgachLuongData, 2, FALSE))</f>
      </c>
      <c r="AE698" s="0">
        <f>IF(N698="", "", VLOOKUP(N698, BacLuongData, 2, FALSE))</f>
      </c>
      <c r="AF698" s="0">
        <f>IF(P698="", "", VLOOKUP(P698, DanhSachCodeId, 3, FALSE))</f>
      </c>
    </row>
    <row r="699">
      <c r="A699" s="0">
        <f>IF(B699="", "", VLOOKUP(B699, DanhSachCodeId, 3, FALSE))</f>
      </c>
      <c r="C699" s="0">
        <f>IF(B699="", "", VLOOKUP(B699, DanhSachNhanVien, 2, FALSE))</f>
      </c>
      <c r="Q699" s="0">
        <f>IF(P699="", "", VLOOKUP(P699, DanhSachNhanVien, 2, FALSE))</f>
      </c>
      <c r="Z699" s="0">
        <f>IF(D699="", "", VLOOKUP(D699, DanhSachLoaiQuyetDinhRange, 2, FALSE))</f>
      </c>
      <c r="AA699" s="0">
        <f>IF(I699="", "", VLOOKUP(I699, DanhSachPhongBanRange, 2, FALSE))</f>
      </c>
      <c r="AB699" s="0">
        <f>IF(J699="", "", VLOOKUP(J699, DanhSachChucDanhRange, 2, FALSE))</f>
      </c>
      <c r="AC699" s="0">
        <f>IF(L699="", "", VLOOKUP(L699, ThangLuongData, 2, FALSE))</f>
      </c>
      <c r="AD699" s="0">
        <f>IF(M699="", "", VLOOKUP(M699, NgachLuongData, 2, FALSE))</f>
      </c>
      <c r="AE699" s="0">
        <f>IF(N699="", "", VLOOKUP(N699, BacLuongData, 2, FALSE))</f>
      </c>
      <c r="AF699" s="0">
        <f>IF(P699="", "", VLOOKUP(P699, DanhSachCodeId, 3, FALSE))</f>
      </c>
    </row>
    <row r="700">
      <c r="A700" s="0">
        <f>IF(B700="", "", VLOOKUP(B700, DanhSachCodeId, 3, FALSE))</f>
      </c>
      <c r="C700" s="0">
        <f>IF(B700="", "", VLOOKUP(B700, DanhSachNhanVien, 2, FALSE))</f>
      </c>
      <c r="Q700" s="0">
        <f>IF(P700="", "", VLOOKUP(P700, DanhSachNhanVien, 2, FALSE))</f>
      </c>
      <c r="Z700" s="0">
        <f>IF(D700="", "", VLOOKUP(D700, DanhSachLoaiQuyetDinhRange, 2, FALSE))</f>
      </c>
      <c r="AA700" s="0">
        <f>IF(I700="", "", VLOOKUP(I700, DanhSachPhongBanRange, 2, FALSE))</f>
      </c>
      <c r="AB700" s="0">
        <f>IF(J700="", "", VLOOKUP(J700, DanhSachChucDanhRange, 2, FALSE))</f>
      </c>
      <c r="AC700" s="0">
        <f>IF(L700="", "", VLOOKUP(L700, ThangLuongData, 2, FALSE))</f>
      </c>
      <c r="AD700" s="0">
        <f>IF(M700="", "", VLOOKUP(M700, NgachLuongData, 2, FALSE))</f>
      </c>
      <c r="AE700" s="0">
        <f>IF(N700="", "", VLOOKUP(N700, BacLuongData, 2, FALSE))</f>
      </c>
      <c r="AF700" s="0">
        <f>IF(P700="", "", VLOOKUP(P700, DanhSachCodeId, 3, FALSE))</f>
      </c>
    </row>
    <row r="701">
      <c r="A701" s="0">
        <f>IF(B701="", "", VLOOKUP(B701, DanhSachCodeId, 3, FALSE))</f>
      </c>
      <c r="C701" s="0">
        <f>IF(B701="", "", VLOOKUP(B701, DanhSachNhanVien, 2, FALSE))</f>
      </c>
      <c r="Q701" s="0">
        <f>IF(P701="", "", VLOOKUP(P701, DanhSachNhanVien, 2, FALSE))</f>
      </c>
      <c r="Z701" s="0">
        <f>IF(D701="", "", VLOOKUP(D701, DanhSachLoaiQuyetDinhRange, 2, FALSE))</f>
      </c>
      <c r="AA701" s="0">
        <f>IF(I701="", "", VLOOKUP(I701, DanhSachPhongBanRange, 2, FALSE))</f>
      </c>
      <c r="AB701" s="0">
        <f>IF(J701="", "", VLOOKUP(J701, DanhSachChucDanhRange, 2, FALSE))</f>
      </c>
      <c r="AC701" s="0">
        <f>IF(L701="", "", VLOOKUP(L701, ThangLuongData, 2, FALSE))</f>
      </c>
      <c r="AD701" s="0">
        <f>IF(M701="", "", VLOOKUP(M701, NgachLuongData, 2, FALSE))</f>
      </c>
      <c r="AE701" s="0">
        <f>IF(N701="", "", VLOOKUP(N701, BacLuongData, 2, FALSE))</f>
      </c>
      <c r="AF701" s="0">
        <f>IF(P701="", "", VLOOKUP(P701, DanhSachCodeId, 3, FALSE))</f>
      </c>
    </row>
    <row r="702">
      <c r="A702" s="0">
        <f>IF(B702="", "", VLOOKUP(B702, DanhSachCodeId, 3, FALSE))</f>
      </c>
      <c r="C702" s="0">
        <f>IF(B702="", "", VLOOKUP(B702, DanhSachNhanVien, 2, FALSE))</f>
      </c>
      <c r="Q702" s="0">
        <f>IF(P702="", "", VLOOKUP(P702, DanhSachNhanVien, 2, FALSE))</f>
      </c>
      <c r="Z702" s="0">
        <f>IF(D702="", "", VLOOKUP(D702, DanhSachLoaiQuyetDinhRange, 2, FALSE))</f>
      </c>
      <c r="AA702" s="0">
        <f>IF(I702="", "", VLOOKUP(I702, DanhSachPhongBanRange, 2, FALSE))</f>
      </c>
      <c r="AB702" s="0">
        <f>IF(J702="", "", VLOOKUP(J702, DanhSachChucDanhRange, 2, FALSE))</f>
      </c>
      <c r="AC702" s="0">
        <f>IF(L702="", "", VLOOKUP(L702, ThangLuongData, 2, FALSE))</f>
      </c>
      <c r="AD702" s="0">
        <f>IF(M702="", "", VLOOKUP(M702, NgachLuongData, 2, FALSE))</f>
      </c>
      <c r="AE702" s="0">
        <f>IF(N702="", "", VLOOKUP(N702, BacLuongData, 2, FALSE))</f>
      </c>
      <c r="AF702" s="0">
        <f>IF(P702="", "", VLOOKUP(P702, DanhSachCodeId, 3, FALSE))</f>
      </c>
    </row>
    <row r="703">
      <c r="A703" s="0">
        <f>IF(B703="", "", VLOOKUP(B703, DanhSachCodeId, 3, FALSE))</f>
      </c>
      <c r="C703" s="0">
        <f>IF(B703="", "", VLOOKUP(B703, DanhSachNhanVien, 2, FALSE))</f>
      </c>
      <c r="Q703" s="0">
        <f>IF(P703="", "", VLOOKUP(P703, DanhSachNhanVien, 2, FALSE))</f>
      </c>
      <c r="Z703" s="0">
        <f>IF(D703="", "", VLOOKUP(D703, DanhSachLoaiQuyetDinhRange, 2, FALSE))</f>
      </c>
      <c r="AA703" s="0">
        <f>IF(I703="", "", VLOOKUP(I703, DanhSachPhongBanRange, 2, FALSE))</f>
      </c>
      <c r="AB703" s="0">
        <f>IF(J703="", "", VLOOKUP(J703, DanhSachChucDanhRange, 2, FALSE))</f>
      </c>
      <c r="AC703" s="0">
        <f>IF(L703="", "", VLOOKUP(L703, ThangLuongData, 2, FALSE))</f>
      </c>
      <c r="AD703" s="0">
        <f>IF(M703="", "", VLOOKUP(M703, NgachLuongData, 2, FALSE))</f>
      </c>
      <c r="AE703" s="0">
        <f>IF(N703="", "", VLOOKUP(N703, BacLuongData, 2, FALSE))</f>
      </c>
      <c r="AF703" s="0">
        <f>IF(P703="", "", VLOOKUP(P703, DanhSachCodeId, 3, FALSE))</f>
      </c>
    </row>
    <row r="704">
      <c r="A704" s="0">
        <f>IF(B704="", "", VLOOKUP(B704, DanhSachCodeId, 3, FALSE))</f>
      </c>
      <c r="C704" s="0">
        <f>IF(B704="", "", VLOOKUP(B704, DanhSachNhanVien, 2, FALSE))</f>
      </c>
      <c r="Q704" s="0">
        <f>IF(P704="", "", VLOOKUP(P704, DanhSachNhanVien, 2, FALSE))</f>
      </c>
      <c r="Z704" s="0">
        <f>IF(D704="", "", VLOOKUP(D704, DanhSachLoaiQuyetDinhRange, 2, FALSE))</f>
      </c>
      <c r="AA704" s="0">
        <f>IF(I704="", "", VLOOKUP(I704, DanhSachPhongBanRange, 2, FALSE))</f>
      </c>
      <c r="AB704" s="0">
        <f>IF(J704="", "", VLOOKUP(J704, DanhSachChucDanhRange, 2, FALSE))</f>
      </c>
      <c r="AC704" s="0">
        <f>IF(L704="", "", VLOOKUP(L704, ThangLuongData, 2, FALSE))</f>
      </c>
      <c r="AD704" s="0">
        <f>IF(M704="", "", VLOOKUP(M704, NgachLuongData, 2, FALSE))</f>
      </c>
      <c r="AE704" s="0">
        <f>IF(N704="", "", VLOOKUP(N704, BacLuongData, 2, FALSE))</f>
      </c>
      <c r="AF704" s="0">
        <f>IF(P704="", "", VLOOKUP(P704, DanhSachCodeId, 3, FALSE))</f>
      </c>
    </row>
    <row r="705">
      <c r="A705" s="0">
        <f>IF(B705="", "", VLOOKUP(B705, DanhSachCodeId, 3, FALSE))</f>
      </c>
      <c r="C705" s="0">
        <f>IF(B705="", "", VLOOKUP(B705, DanhSachNhanVien, 2, FALSE))</f>
      </c>
      <c r="Q705" s="0">
        <f>IF(P705="", "", VLOOKUP(P705, DanhSachNhanVien, 2, FALSE))</f>
      </c>
      <c r="Z705" s="0">
        <f>IF(D705="", "", VLOOKUP(D705, DanhSachLoaiQuyetDinhRange, 2, FALSE))</f>
      </c>
      <c r="AA705" s="0">
        <f>IF(I705="", "", VLOOKUP(I705, DanhSachPhongBanRange, 2, FALSE))</f>
      </c>
      <c r="AB705" s="0">
        <f>IF(J705="", "", VLOOKUP(J705, DanhSachChucDanhRange, 2, FALSE))</f>
      </c>
      <c r="AC705" s="0">
        <f>IF(L705="", "", VLOOKUP(L705, ThangLuongData, 2, FALSE))</f>
      </c>
      <c r="AD705" s="0">
        <f>IF(M705="", "", VLOOKUP(M705, NgachLuongData, 2, FALSE))</f>
      </c>
      <c r="AE705" s="0">
        <f>IF(N705="", "", VLOOKUP(N705, BacLuongData, 2, FALSE))</f>
      </c>
      <c r="AF705" s="0">
        <f>IF(P705="", "", VLOOKUP(P705, DanhSachCodeId, 3, FALSE))</f>
      </c>
    </row>
    <row r="706">
      <c r="A706" s="0">
        <f>IF(B706="", "", VLOOKUP(B706, DanhSachCodeId, 3, FALSE))</f>
      </c>
      <c r="C706" s="0">
        <f>IF(B706="", "", VLOOKUP(B706, DanhSachNhanVien, 2, FALSE))</f>
      </c>
      <c r="Q706" s="0">
        <f>IF(P706="", "", VLOOKUP(P706, DanhSachNhanVien, 2, FALSE))</f>
      </c>
      <c r="Z706" s="0">
        <f>IF(D706="", "", VLOOKUP(D706, DanhSachLoaiQuyetDinhRange, 2, FALSE))</f>
      </c>
      <c r="AA706" s="0">
        <f>IF(I706="", "", VLOOKUP(I706, DanhSachPhongBanRange, 2, FALSE))</f>
      </c>
      <c r="AB706" s="0">
        <f>IF(J706="", "", VLOOKUP(J706, DanhSachChucDanhRange, 2, FALSE))</f>
      </c>
      <c r="AC706" s="0">
        <f>IF(L706="", "", VLOOKUP(L706, ThangLuongData, 2, FALSE))</f>
      </c>
      <c r="AD706" s="0">
        <f>IF(M706="", "", VLOOKUP(M706, NgachLuongData, 2, FALSE))</f>
      </c>
      <c r="AE706" s="0">
        <f>IF(N706="", "", VLOOKUP(N706, BacLuongData, 2, FALSE))</f>
      </c>
      <c r="AF706" s="0">
        <f>IF(P706="", "", VLOOKUP(P706, DanhSachCodeId, 3, FALSE))</f>
      </c>
    </row>
    <row r="707">
      <c r="A707" s="0">
        <f>IF(B707="", "", VLOOKUP(B707, DanhSachCodeId, 3, FALSE))</f>
      </c>
      <c r="C707" s="0">
        <f>IF(B707="", "", VLOOKUP(B707, DanhSachNhanVien, 2, FALSE))</f>
      </c>
      <c r="Q707" s="0">
        <f>IF(P707="", "", VLOOKUP(P707, DanhSachNhanVien, 2, FALSE))</f>
      </c>
      <c r="Z707" s="0">
        <f>IF(D707="", "", VLOOKUP(D707, DanhSachLoaiQuyetDinhRange, 2, FALSE))</f>
      </c>
      <c r="AA707" s="0">
        <f>IF(I707="", "", VLOOKUP(I707, DanhSachPhongBanRange, 2, FALSE))</f>
      </c>
      <c r="AB707" s="0">
        <f>IF(J707="", "", VLOOKUP(J707, DanhSachChucDanhRange, 2, FALSE))</f>
      </c>
      <c r="AC707" s="0">
        <f>IF(L707="", "", VLOOKUP(L707, ThangLuongData, 2, FALSE))</f>
      </c>
      <c r="AD707" s="0">
        <f>IF(M707="", "", VLOOKUP(M707, NgachLuongData, 2, FALSE))</f>
      </c>
      <c r="AE707" s="0">
        <f>IF(N707="", "", VLOOKUP(N707, BacLuongData, 2, FALSE))</f>
      </c>
      <c r="AF707" s="0">
        <f>IF(P707="", "", VLOOKUP(P707, DanhSachCodeId, 3, FALSE))</f>
      </c>
    </row>
    <row r="708">
      <c r="A708" s="0">
        <f>IF(B708="", "", VLOOKUP(B708, DanhSachCodeId, 3, FALSE))</f>
      </c>
      <c r="C708" s="0">
        <f>IF(B708="", "", VLOOKUP(B708, DanhSachNhanVien, 2, FALSE))</f>
      </c>
      <c r="Q708" s="0">
        <f>IF(P708="", "", VLOOKUP(P708, DanhSachNhanVien, 2, FALSE))</f>
      </c>
      <c r="Z708" s="0">
        <f>IF(D708="", "", VLOOKUP(D708, DanhSachLoaiQuyetDinhRange, 2, FALSE))</f>
      </c>
      <c r="AA708" s="0">
        <f>IF(I708="", "", VLOOKUP(I708, DanhSachPhongBanRange, 2, FALSE))</f>
      </c>
      <c r="AB708" s="0">
        <f>IF(J708="", "", VLOOKUP(J708, DanhSachChucDanhRange, 2, FALSE))</f>
      </c>
      <c r="AC708" s="0">
        <f>IF(L708="", "", VLOOKUP(L708, ThangLuongData, 2, FALSE))</f>
      </c>
      <c r="AD708" s="0">
        <f>IF(M708="", "", VLOOKUP(M708, NgachLuongData, 2, FALSE))</f>
      </c>
      <c r="AE708" s="0">
        <f>IF(N708="", "", VLOOKUP(N708, BacLuongData, 2, FALSE))</f>
      </c>
      <c r="AF708" s="0">
        <f>IF(P708="", "", VLOOKUP(P708, DanhSachCodeId, 3, FALSE))</f>
      </c>
    </row>
    <row r="709">
      <c r="A709" s="0">
        <f>IF(B709="", "", VLOOKUP(B709, DanhSachCodeId, 3, FALSE))</f>
      </c>
      <c r="C709" s="0">
        <f>IF(B709="", "", VLOOKUP(B709, DanhSachNhanVien, 2, FALSE))</f>
      </c>
      <c r="Q709" s="0">
        <f>IF(P709="", "", VLOOKUP(P709, DanhSachNhanVien, 2, FALSE))</f>
      </c>
      <c r="Z709" s="0">
        <f>IF(D709="", "", VLOOKUP(D709, DanhSachLoaiQuyetDinhRange, 2, FALSE))</f>
      </c>
      <c r="AA709" s="0">
        <f>IF(I709="", "", VLOOKUP(I709, DanhSachPhongBanRange, 2, FALSE))</f>
      </c>
      <c r="AB709" s="0">
        <f>IF(J709="", "", VLOOKUP(J709, DanhSachChucDanhRange, 2, FALSE))</f>
      </c>
      <c r="AC709" s="0">
        <f>IF(L709="", "", VLOOKUP(L709, ThangLuongData, 2, FALSE))</f>
      </c>
      <c r="AD709" s="0">
        <f>IF(M709="", "", VLOOKUP(M709, NgachLuongData, 2, FALSE))</f>
      </c>
      <c r="AE709" s="0">
        <f>IF(N709="", "", VLOOKUP(N709, BacLuongData, 2, FALSE))</f>
      </c>
      <c r="AF709" s="0">
        <f>IF(P709="", "", VLOOKUP(P709, DanhSachCodeId, 3, FALSE))</f>
      </c>
    </row>
    <row r="710">
      <c r="A710" s="0">
        <f>IF(B710="", "", VLOOKUP(B710, DanhSachCodeId, 3, FALSE))</f>
      </c>
      <c r="C710" s="0">
        <f>IF(B710="", "", VLOOKUP(B710, DanhSachNhanVien, 2, FALSE))</f>
      </c>
      <c r="Q710" s="0">
        <f>IF(P710="", "", VLOOKUP(P710, DanhSachNhanVien, 2, FALSE))</f>
      </c>
      <c r="Z710" s="0">
        <f>IF(D710="", "", VLOOKUP(D710, DanhSachLoaiQuyetDinhRange, 2, FALSE))</f>
      </c>
      <c r="AA710" s="0">
        <f>IF(I710="", "", VLOOKUP(I710, DanhSachPhongBanRange, 2, FALSE))</f>
      </c>
      <c r="AB710" s="0">
        <f>IF(J710="", "", VLOOKUP(J710, DanhSachChucDanhRange, 2, FALSE))</f>
      </c>
      <c r="AC710" s="0">
        <f>IF(L710="", "", VLOOKUP(L710, ThangLuongData, 2, FALSE))</f>
      </c>
      <c r="AD710" s="0">
        <f>IF(M710="", "", VLOOKUP(M710, NgachLuongData, 2, FALSE))</f>
      </c>
      <c r="AE710" s="0">
        <f>IF(N710="", "", VLOOKUP(N710, BacLuongData, 2, FALSE))</f>
      </c>
      <c r="AF710" s="0">
        <f>IF(P710="", "", VLOOKUP(P710, DanhSachCodeId, 3, FALSE))</f>
      </c>
    </row>
    <row r="711">
      <c r="A711" s="0">
        <f>IF(B711="", "", VLOOKUP(B711, DanhSachCodeId, 3, FALSE))</f>
      </c>
      <c r="C711" s="0">
        <f>IF(B711="", "", VLOOKUP(B711, DanhSachNhanVien, 2, FALSE))</f>
      </c>
      <c r="Q711" s="0">
        <f>IF(P711="", "", VLOOKUP(P711, DanhSachNhanVien, 2, FALSE))</f>
      </c>
      <c r="Z711" s="0">
        <f>IF(D711="", "", VLOOKUP(D711, DanhSachLoaiQuyetDinhRange, 2, FALSE))</f>
      </c>
      <c r="AA711" s="0">
        <f>IF(I711="", "", VLOOKUP(I711, DanhSachPhongBanRange, 2, FALSE))</f>
      </c>
      <c r="AB711" s="0">
        <f>IF(J711="", "", VLOOKUP(J711, DanhSachChucDanhRange, 2, FALSE))</f>
      </c>
      <c r="AC711" s="0">
        <f>IF(L711="", "", VLOOKUP(L711, ThangLuongData, 2, FALSE))</f>
      </c>
      <c r="AD711" s="0">
        <f>IF(M711="", "", VLOOKUP(M711, NgachLuongData, 2, FALSE))</f>
      </c>
      <c r="AE711" s="0">
        <f>IF(N711="", "", VLOOKUP(N711, BacLuongData, 2, FALSE))</f>
      </c>
      <c r="AF711" s="0">
        <f>IF(P711="", "", VLOOKUP(P711, DanhSachCodeId, 3, FALSE))</f>
      </c>
    </row>
    <row r="712">
      <c r="A712" s="0">
        <f>IF(B712="", "", VLOOKUP(B712, DanhSachCodeId, 3, FALSE))</f>
      </c>
      <c r="C712" s="0">
        <f>IF(B712="", "", VLOOKUP(B712, DanhSachNhanVien, 2, FALSE))</f>
      </c>
      <c r="Q712" s="0">
        <f>IF(P712="", "", VLOOKUP(P712, DanhSachNhanVien, 2, FALSE))</f>
      </c>
      <c r="Z712" s="0">
        <f>IF(D712="", "", VLOOKUP(D712, DanhSachLoaiQuyetDinhRange, 2, FALSE))</f>
      </c>
      <c r="AA712" s="0">
        <f>IF(I712="", "", VLOOKUP(I712, DanhSachPhongBanRange, 2, FALSE))</f>
      </c>
      <c r="AB712" s="0">
        <f>IF(J712="", "", VLOOKUP(J712, DanhSachChucDanhRange, 2, FALSE))</f>
      </c>
      <c r="AC712" s="0">
        <f>IF(L712="", "", VLOOKUP(L712, ThangLuongData, 2, FALSE))</f>
      </c>
      <c r="AD712" s="0">
        <f>IF(M712="", "", VLOOKUP(M712, NgachLuongData, 2, FALSE))</f>
      </c>
      <c r="AE712" s="0">
        <f>IF(N712="", "", VLOOKUP(N712, BacLuongData, 2, FALSE))</f>
      </c>
      <c r="AF712" s="0">
        <f>IF(P712="", "", VLOOKUP(P712, DanhSachCodeId, 3, FALSE))</f>
      </c>
    </row>
    <row r="713">
      <c r="A713" s="0">
        <f>IF(B713="", "", VLOOKUP(B713, DanhSachCodeId, 3, FALSE))</f>
      </c>
      <c r="C713" s="0">
        <f>IF(B713="", "", VLOOKUP(B713, DanhSachNhanVien, 2, FALSE))</f>
      </c>
      <c r="Q713" s="0">
        <f>IF(P713="", "", VLOOKUP(P713, DanhSachNhanVien, 2, FALSE))</f>
      </c>
      <c r="Z713" s="0">
        <f>IF(D713="", "", VLOOKUP(D713, DanhSachLoaiQuyetDinhRange, 2, FALSE))</f>
      </c>
      <c r="AA713" s="0">
        <f>IF(I713="", "", VLOOKUP(I713, DanhSachPhongBanRange, 2, FALSE))</f>
      </c>
      <c r="AB713" s="0">
        <f>IF(J713="", "", VLOOKUP(J713, DanhSachChucDanhRange, 2, FALSE))</f>
      </c>
      <c r="AC713" s="0">
        <f>IF(L713="", "", VLOOKUP(L713, ThangLuongData, 2, FALSE))</f>
      </c>
      <c r="AD713" s="0">
        <f>IF(M713="", "", VLOOKUP(M713, NgachLuongData, 2, FALSE))</f>
      </c>
      <c r="AE713" s="0">
        <f>IF(N713="", "", VLOOKUP(N713, BacLuongData, 2, FALSE))</f>
      </c>
      <c r="AF713" s="0">
        <f>IF(P713="", "", VLOOKUP(P713, DanhSachCodeId, 3, FALSE))</f>
      </c>
    </row>
    <row r="714">
      <c r="A714" s="0">
        <f>IF(B714="", "", VLOOKUP(B714, DanhSachCodeId, 3, FALSE))</f>
      </c>
      <c r="C714" s="0">
        <f>IF(B714="", "", VLOOKUP(B714, DanhSachNhanVien, 2, FALSE))</f>
      </c>
      <c r="Q714" s="0">
        <f>IF(P714="", "", VLOOKUP(P714, DanhSachNhanVien, 2, FALSE))</f>
      </c>
      <c r="Z714" s="0">
        <f>IF(D714="", "", VLOOKUP(D714, DanhSachLoaiQuyetDinhRange, 2, FALSE))</f>
      </c>
      <c r="AA714" s="0">
        <f>IF(I714="", "", VLOOKUP(I714, DanhSachPhongBanRange, 2, FALSE))</f>
      </c>
      <c r="AB714" s="0">
        <f>IF(J714="", "", VLOOKUP(J714, DanhSachChucDanhRange, 2, FALSE))</f>
      </c>
      <c r="AC714" s="0">
        <f>IF(L714="", "", VLOOKUP(L714, ThangLuongData, 2, FALSE))</f>
      </c>
      <c r="AD714" s="0">
        <f>IF(M714="", "", VLOOKUP(M714, NgachLuongData, 2, FALSE))</f>
      </c>
      <c r="AE714" s="0">
        <f>IF(N714="", "", VLOOKUP(N714, BacLuongData, 2, FALSE))</f>
      </c>
      <c r="AF714" s="0">
        <f>IF(P714="", "", VLOOKUP(P714, DanhSachCodeId, 3, FALSE))</f>
      </c>
    </row>
    <row r="715">
      <c r="A715" s="0">
        <f>IF(B715="", "", VLOOKUP(B715, DanhSachCodeId, 3, FALSE))</f>
      </c>
      <c r="C715" s="0">
        <f>IF(B715="", "", VLOOKUP(B715, DanhSachNhanVien, 2, FALSE))</f>
      </c>
      <c r="Q715" s="0">
        <f>IF(P715="", "", VLOOKUP(P715, DanhSachNhanVien, 2, FALSE))</f>
      </c>
      <c r="Z715" s="0">
        <f>IF(D715="", "", VLOOKUP(D715, DanhSachLoaiQuyetDinhRange, 2, FALSE))</f>
      </c>
      <c r="AA715" s="0">
        <f>IF(I715="", "", VLOOKUP(I715, DanhSachPhongBanRange, 2, FALSE))</f>
      </c>
      <c r="AB715" s="0">
        <f>IF(J715="", "", VLOOKUP(J715, DanhSachChucDanhRange, 2, FALSE))</f>
      </c>
      <c r="AC715" s="0">
        <f>IF(L715="", "", VLOOKUP(L715, ThangLuongData, 2, FALSE))</f>
      </c>
      <c r="AD715" s="0">
        <f>IF(M715="", "", VLOOKUP(M715, NgachLuongData, 2, FALSE))</f>
      </c>
      <c r="AE715" s="0">
        <f>IF(N715="", "", VLOOKUP(N715, BacLuongData, 2, FALSE))</f>
      </c>
      <c r="AF715" s="0">
        <f>IF(P715="", "", VLOOKUP(P715, DanhSachCodeId, 3, FALSE))</f>
      </c>
    </row>
    <row r="716">
      <c r="A716" s="0">
        <f>IF(B716="", "", VLOOKUP(B716, DanhSachCodeId, 3, FALSE))</f>
      </c>
      <c r="C716" s="0">
        <f>IF(B716="", "", VLOOKUP(B716, DanhSachNhanVien, 2, FALSE))</f>
      </c>
      <c r="Q716" s="0">
        <f>IF(P716="", "", VLOOKUP(P716, DanhSachNhanVien, 2, FALSE))</f>
      </c>
      <c r="Z716" s="0">
        <f>IF(D716="", "", VLOOKUP(D716, DanhSachLoaiQuyetDinhRange, 2, FALSE))</f>
      </c>
      <c r="AA716" s="0">
        <f>IF(I716="", "", VLOOKUP(I716, DanhSachPhongBanRange, 2, FALSE))</f>
      </c>
      <c r="AB716" s="0">
        <f>IF(J716="", "", VLOOKUP(J716, DanhSachChucDanhRange, 2, FALSE))</f>
      </c>
      <c r="AC716" s="0">
        <f>IF(L716="", "", VLOOKUP(L716, ThangLuongData, 2, FALSE))</f>
      </c>
      <c r="AD716" s="0">
        <f>IF(M716="", "", VLOOKUP(M716, NgachLuongData, 2, FALSE))</f>
      </c>
      <c r="AE716" s="0">
        <f>IF(N716="", "", VLOOKUP(N716, BacLuongData, 2, FALSE))</f>
      </c>
      <c r="AF716" s="0">
        <f>IF(P716="", "", VLOOKUP(P716, DanhSachCodeId, 3, FALSE))</f>
      </c>
    </row>
    <row r="717">
      <c r="A717" s="0">
        <f>IF(B717="", "", VLOOKUP(B717, DanhSachCodeId, 3, FALSE))</f>
      </c>
      <c r="C717" s="0">
        <f>IF(B717="", "", VLOOKUP(B717, DanhSachNhanVien, 2, FALSE))</f>
      </c>
      <c r="Q717" s="0">
        <f>IF(P717="", "", VLOOKUP(P717, DanhSachNhanVien, 2, FALSE))</f>
      </c>
      <c r="Z717" s="0">
        <f>IF(D717="", "", VLOOKUP(D717, DanhSachLoaiQuyetDinhRange, 2, FALSE))</f>
      </c>
      <c r="AA717" s="0">
        <f>IF(I717="", "", VLOOKUP(I717, DanhSachPhongBanRange, 2, FALSE))</f>
      </c>
      <c r="AB717" s="0">
        <f>IF(J717="", "", VLOOKUP(J717, DanhSachChucDanhRange, 2, FALSE))</f>
      </c>
      <c r="AC717" s="0">
        <f>IF(L717="", "", VLOOKUP(L717, ThangLuongData, 2, FALSE))</f>
      </c>
      <c r="AD717" s="0">
        <f>IF(M717="", "", VLOOKUP(M717, NgachLuongData, 2, FALSE))</f>
      </c>
      <c r="AE717" s="0">
        <f>IF(N717="", "", VLOOKUP(N717, BacLuongData, 2, FALSE))</f>
      </c>
      <c r="AF717" s="0">
        <f>IF(P717="", "", VLOOKUP(P717, DanhSachCodeId, 3, FALSE))</f>
      </c>
    </row>
    <row r="718">
      <c r="A718" s="0">
        <f>IF(B718="", "", VLOOKUP(B718, DanhSachCodeId, 3, FALSE))</f>
      </c>
      <c r="C718" s="0">
        <f>IF(B718="", "", VLOOKUP(B718, DanhSachNhanVien, 2, FALSE))</f>
      </c>
      <c r="Q718" s="0">
        <f>IF(P718="", "", VLOOKUP(P718, DanhSachNhanVien, 2, FALSE))</f>
      </c>
      <c r="Z718" s="0">
        <f>IF(D718="", "", VLOOKUP(D718, DanhSachLoaiQuyetDinhRange, 2, FALSE))</f>
      </c>
      <c r="AA718" s="0">
        <f>IF(I718="", "", VLOOKUP(I718, DanhSachPhongBanRange, 2, FALSE))</f>
      </c>
      <c r="AB718" s="0">
        <f>IF(J718="", "", VLOOKUP(J718, DanhSachChucDanhRange, 2, FALSE))</f>
      </c>
      <c r="AC718" s="0">
        <f>IF(L718="", "", VLOOKUP(L718, ThangLuongData, 2, FALSE))</f>
      </c>
      <c r="AD718" s="0">
        <f>IF(M718="", "", VLOOKUP(M718, NgachLuongData, 2, FALSE))</f>
      </c>
      <c r="AE718" s="0">
        <f>IF(N718="", "", VLOOKUP(N718, BacLuongData, 2, FALSE))</f>
      </c>
      <c r="AF718" s="0">
        <f>IF(P718="", "", VLOOKUP(P718, DanhSachCodeId, 3, FALSE))</f>
      </c>
    </row>
    <row r="719">
      <c r="A719" s="0">
        <f>IF(B719="", "", VLOOKUP(B719, DanhSachCodeId, 3, FALSE))</f>
      </c>
      <c r="C719" s="0">
        <f>IF(B719="", "", VLOOKUP(B719, DanhSachNhanVien, 2, FALSE))</f>
      </c>
      <c r="Q719" s="0">
        <f>IF(P719="", "", VLOOKUP(P719, DanhSachNhanVien, 2, FALSE))</f>
      </c>
      <c r="Z719" s="0">
        <f>IF(D719="", "", VLOOKUP(D719, DanhSachLoaiQuyetDinhRange, 2, FALSE))</f>
      </c>
      <c r="AA719" s="0">
        <f>IF(I719="", "", VLOOKUP(I719, DanhSachPhongBanRange, 2, FALSE))</f>
      </c>
      <c r="AB719" s="0">
        <f>IF(J719="", "", VLOOKUP(J719, DanhSachChucDanhRange, 2, FALSE))</f>
      </c>
      <c r="AC719" s="0">
        <f>IF(L719="", "", VLOOKUP(L719, ThangLuongData, 2, FALSE))</f>
      </c>
      <c r="AD719" s="0">
        <f>IF(M719="", "", VLOOKUP(M719, NgachLuongData, 2, FALSE))</f>
      </c>
      <c r="AE719" s="0">
        <f>IF(N719="", "", VLOOKUP(N719, BacLuongData, 2, FALSE))</f>
      </c>
      <c r="AF719" s="0">
        <f>IF(P719="", "", VLOOKUP(P719, DanhSachCodeId, 3, FALSE))</f>
      </c>
    </row>
    <row r="720">
      <c r="A720" s="0">
        <f>IF(B720="", "", VLOOKUP(B720, DanhSachCodeId, 3, FALSE))</f>
      </c>
      <c r="C720" s="0">
        <f>IF(B720="", "", VLOOKUP(B720, DanhSachNhanVien, 2, FALSE))</f>
      </c>
      <c r="Q720" s="0">
        <f>IF(P720="", "", VLOOKUP(P720, DanhSachNhanVien, 2, FALSE))</f>
      </c>
      <c r="Z720" s="0">
        <f>IF(D720="", "", VLOOKUP(D720, DanhSachLoaiQuyetDinhRange, 2, FALSE))</f>
      </c>
      <c r="AA720" s="0">
        <f>IF(I720="", "", VLOOKUP(I720, DanhSachPhongBanRange, 2, FALSE))</f>
      </c>
      <c r="AB720" s="0">
        <f>IF(J720="", "", VLOOKUP(J720, DanhSachChucDanhRange, 2, FALSE))</f>
      </c>
      <c r="AC720" s="0">
        <f>IF(L720="", "", VLOOKUP(L720, ThangLuongData, 2, FALSE))</f>
      </c>
      <c r="AD720" s="0">
        <f>IF(M720="", "", VLOOKUP(M720, NgachLuongData, 2, FALSE))</f>
      </c>
      <c r="AE720" s="0">
        <f>IF(N720="", "", VLOOKUP(N720, BacLuongData, 2, FALSE))</f>
      </c>
      <c r="AF720" s="0">
        <f>IF(P720="", "", VLOOKUP(P720, DanhSachCodeId, 3, FALSE))</f>
      </c>
    </row>
    <row r="721">
      <c r="A721" s="0">
        <f>IF(B721="", "", VLOOKUP(B721, DanhSachCodeId, 3, FALSE))</f>
      </c>
      <c r="C721" s="0">
        <f>IF(B721="", "", VLOOKUP(B721, DanhSachNhanVien, 2, FALSE))</f>
      </c>
      <c r="Q721" s="0">
        <f>IF(P721="", "", VLOOKUP(P721, DanhSachNhanVien, 2, FALSE))</f>
      </c>
      <c r="Z721" s="0">
        <f>IF(D721="", "", VLOOKUP(D721, DanhSachLoaiQuyetDinhRange, 2, FALSE))</f>
      </c>
      <c r="AA721" s="0">
        <f>IF(I721="", "", VLOOKUP(I721, DanhSachPhongBanRange, 2, FALSE))</f>
      </c>
      <c r="AB721" s="0">
        <f>IF(J721="", "", VLOOKUP(J721, DanhSachChucDanhRange, 2, FALSE))</f>
      </c>
      <c r="AC721" s="0">
        <f>IF(L721="", "", VLOOKUP(L721, ThangLuongData, 2, FALSE))</f>
      </c>
      <c r="AD721" s="0">
        <f>IF(M721="", "", VLOOKUP(M721, NgachLuongData, 2, FALSE))</f>
      </c>
      <c r="AE721" s="0">
        <f>IF(N721="", "", VLOOKUP(N721, BacLuongData, 2, FALSE))</f>
      </c>
      <c r="AF721" s="0">
        <f>IF(P721="", "", VLOOKUP(P721, DanhSachCodeId, 3, FALSE))</f>
      </c>
    </row>
    <row r="722">
      <c r="A722" s="0">
        <f>IF(B722="", "", VLOOKUP(B722, DanhSachCodeId, 3, FALSE))</f>
      </c>
      <c r="C722" s="0">
        <f>IF(B722="", "", VLOOKUP(B722, DanhSachNhanVien, 2, FALSE))</f>
      </c>
      <c r="Q722" s="0">
        <f>IF(P722="", "", VLOOKUP(P722, DanhSachNhanVien, 2, FALSE))</f>
      </c>
      <c r="Z722" s="0">
        <f>IF(D722="", "", VLOOKUP(D722, DanhSachLoaiQuyetDinhRange, 2, FALSE))</f>
      </c>
      <c r="AA722" s="0">
        <f>IF(I722="", "", VLOOKUP(I722, DanhSachPhongBanRange, 2, FALSE))</f>
      </c>
      <c r="AB722" s="0">
        <f>IF(J722="", "", VLOOKUP(J722, DanhSachChucDanhRange, 2, FALSE))</f>
      </c>
      <c r="AC722" s="0">
        <f>IF(L722="", "", VLOOKUP(L722, ThangLuongData, 2, FALSE))</f>
      </c>
      <c r="AD722" s="0">
        <f>IF(M722="", "", VLOOKUP(M722, NgachLuongData, 2, FALSE))</f>
      </c>
      <c r="AE722" s="0">
        <f>IF(N722="", "", VLOOKUP(N722, BacLuongData, 2, FALSE))</f>
      </c>
      <c r="AF722" s="0">
        <f>IF(P722="", "", VLOOKUP(P722, DanhSachCodeId, 3, FALSE))</f>
      </c>
    </row>
    <row r="723">
      <c r="A723" s="0">
        <f>IF(B723="", "", VLOOKUP(B723, DanhSachCodeId, 3, FALSE))</f>
      </c>
      <c r="C723" s="0">
        <f>IF(B723="", "", VLOOKUP(B723, DanhSachNhanVien, 2, FALSE))</f>
      </c>
      <c r="Q723" s="0">
        <f>IF(P723="", "", VLOOKUP(P723, DanhSachNhanVien, 2, FALSE))</f>
      </c>
      <c r="Z723" s="0">
        <f>IF(D723="", "", VLOOKUP(D723, DanhSachLoaiQuyetDinhRange, 2, FALSE))</f>
      </c>
      <c r="AA723" s="0">
        <f>IF(I723="", "", VLOOKUP(I723, DanhSachPhongBanRange, 2, FALSE))</f>
      </c>
      <c r="AB723" s="0">
        <f>IF(J723="", "", VLOOKUP(J723, DanhSachChucDanhRange, 2, FALSE))</f>
      </c>
      <c r="AC723" s="0">
        <f>IF(L723="", "", VLOOKUP(L723, ThangLuongData, 2, FALSE))</f>
      </c>
      <c r="AD723" s="0">
        <f>IF(M723="", "", VLOOKUP(M723, NgachLuongData, 2, FALSE))</f>
      </c>
      <c r="AE723" s="0">
        <f>IF(N723="", "", VLOOKUP(N723, BacLuongData, 2, FALSE))</f>
      </c>
      <c r="AF723" s="0">
        <f>IF(P723="", "", VLOOKUP(P723, DanhSachCodeId, 3, FALSE))</f>
      </c>
    </row>
    <row r="724">
      <c r="A724" s="0">
        <f>IF(B724="", "", VLOOKUP(B724, DanhSachCodeId, 3, FALSE))</f>
      </c>
      <c r="C724" s="0">
        <f>IF(B724="", "", VLOOKUP(B724, DanhSachNhanVien, 2, FALSE))</f>
      </c>
      <c r="Q724" s="0">
        <f>IF(P724="", "", VLOOKUP(P724, DanhSachNhanVien, 2, FALSE))</f>
      </c>
      <c r="Z724" s="0">
        <f>IF(D724="", "", VLOOKUP(D724, DanhSachLoaiQuyetDinhRange, 2, FALSE))</f>
      </c>
      <c r="AA724" s="0">
        <f>IF(I724="", "", VLOOKUP(I724, DanhSachPhongBanRange, 2, FALSE))</f>
      </c>
      <c r="AB724" s="0">
        <f>IF(J724="", "", VLOOKUP(J724, DanhSachChucDanhRange, 2, FALSE))</f>
      </c>
      <c r="AC724" s="0">
        <f>IF(L724="", "", VLOOKUP(L724, ThangLuongData, 2, FALSE))</f>
      </c>
      <c r="AD724" s="0">
        <f>IF(M724="", "", VLOOKUP(M724, NgachLuongData, 2, FALSE))</f>
      </c>
      <c r="AE724" s="0">
        <f>IF(N724="", "", VLOOKUP(N724, BacLuongData, 2, FALSE))</f>
      </c>
      <c r="AF724" s="0">
        <f>IF(P724="", "", VLOOKUP(P724, DanhSachCodeId, 3, FALSE))</f>
      </c>
    </row>
    <row r="725">
      <c r="A725" s="0">
        <f>IF(B725="", "", VLOOKUP(B725, DanhSachCodeId, 3, FALSE))</f>
      </c>
      <c r="C725" s="0">
        <f>IF(B725="", "", VLOOKUP(B725, DanhSachNhanVien, 2, FALSE))</f>
      </c>
      <c r="Q725" s="0">
        <f>IF(P725="", "", VLOOKUP(P725, DanhSachNhanVien, 2, FALSE))</f>
      </c>
      <c r="Z725" s="0">
        <f>IF(D725="", "", VLOOKUP(D725, DanhSachLoaiQuyetDinhRange, 2, FALSE))</f>
      </c>
      <c r="AA725" s="0">
        <f>IF(I725="", "", VLOOKUP(I725, DanhSachPhongBanRange, 2, FALSE))</f>
      </c>
      <c r="AB725" s="0">
        <f>IF(J725="", "", VLOOKUP(J725, DanhSachChucDanhRange, 2, FALSE))</f>
      </c>
      <c r="AC725" s="0">
        <f>IF(L725="", "", VLOOKUP(L725, ThangLuongData, 2, FALSE))</f>
      </c>
      <c r="AD725" s="0">
        <f>IF(M725="", "", VLOOKUP(M725, NgachLuongData, 2, FALSE))</f>
      </c>
      <c r="AE725" s="0">
        <f>IF(N725="", "", VLOOKUP(N725, BacLuongData, 2, FALSE))</f>
      </c>
      <c r="AF725" s="0">
        <f>IF(P725="", "", VLOOKUP(P725, DanhSachCodeId, 3, FALSE))</f>
      </c>
    </row>
    <row r="726">
      <c r="A726" s="0">
        <f>IF(B726="", "", VLOOKUP(B726, DanhSachCodeId, 3, FALSE))</f>
      </c>
      <c r="C726" s="0">
        <f>IF(B726="", "", VLOOKUP(B726, DanhSachNhanVien, 2, FALSE))</f>
      </c>
      <c r="Q726" s="0">
        <f>IF(P726="", "", VLOOKUP(P726, DanhSachNhanVien, 2, FALSE))</f>
      </c>
      <c r="Z726" s="0">
        <f>IF(D726="", "", VLOOKUP(D726, DanhSachLoaiQuyetDinhRange, 2, FALSE))</f>
      </c>
      <c r="AA726" s="0">
        <f>IF(I726="", "", VLOOKUP(I726, DanhSachPhongBanRange, 2, FALSE))</f>
      </c>
      <c r="AB726" s="0">
        <f>IF(J726="", "", VLOOKUP(J726, DanhSachChucDanhRange, 2, FALSE))</f>
      </c>
      <c r="AC726" s="0">
        <f>IF(L726="", "", VLOOKUP(L726, ThangLuongData, 2, FALSE))</f>
      </c>
      <c r="AD726" s="0">
        <f>IF(M726="", "", VLOOKUP(M726, NgachLuongData, 2, FALSE))</f>
      </c>
      <c r="AE726" s="0">
        <f>IF(N726="", "", VLOOKUP(N726, BacLuongData, 2, FALSE))</f>
      </c>
      <c r="AF726" s="0">
        <f>IF(P726="", "", VLOOKUP(P726, DanhSachCodeId, 3, FALSE))</f>
      </c>
    </row>
    <row r="727">
      <c r="A727" s="0">
        <f>IF(B727="", "", VLOOKUP(B727, DanhSachCodeId, 3, FALSE))</f>
      </c>
      <c r="C727" s="0">
        <f>IF(B727="", "", VLOOKUP(B727, DanhSachNhanVien, 2, FALSE))</f>
      </c>
      <c r="Q727" s="0">
        <f>IF(P727="", "", VLOOKUP(P727, DanhSachNhanVien, 2, FALSE))</f>
      </c>
      <c r="Z727" s="0">
        <f>IF(D727="", "", VLOOKUP(D727, DanhSachLoaiQuyetDinhRange, 2, FALSE))</f>
      </c>
      <c r="AA727" s="0">
        <f>IF(I727="", "", VLOOKUP(I727, DanhSachPhongBanRange, 2, FALSE))</f>
      </c>
      <c r="AB727" s="0">
        <f>IF(J727="", "", VLOOKUP(J727, DanhSachChucDanhRange, 2, FALSE))</f>
      </c>
      <c r="AC727" s="0">
        <f>IF(L727="", "", VLOOKUP(L727, ThangLuongData, 2, FALSE))</f>
      </c>
      <c r="AD727" s="0">
        <f>IF(M727="", "", VLOOKUP(M727, NgachLuongData, 2, FALSE))</f>
      </c>
      <c r="AE727" s="0">
        <f>IF(N727="", "", VLOOKUP(N727, BacLuongData, 2, FALSE))</f>
      </c>
      <c r="AF727" s="0">
        <f>IF(P727="", "", VLOOKUP(P727, DanhSachCodeId, 3, FALSE))</f>
      </c>
    </row>
    <row r="728">
      <c r="A728" s="0">
        <f>IF(B728="", "", VLOOKUP(B728, DanhSachCodeId, 3, FALSE))</f>
      </c>
      <c r="C728" s="0">
        <f>IF(B728="", "", VLOOKUP(B728, DanhSachNhanVien, 2, FALSE))</f>
      </c>
      <c r="Q728" s="0">
        <f>IF(P728="", "", VLOOKUP(P728, DanhSachNhanVien, 2, FALSE))</f>
      </c>
      <c r="Z728" s="0">
        <f>IF(D728="", "", VLOOKUP(D728, DanhSachLoaiQuyetDinhRange, 2, FALSE))</f>
      </c>
      <c r="AA728" s="0">
        <f>IF(I728="", "", VLOOKUP(I728, DanhSachPhongBanRange, 2, FALSE))</f>
      </c>
      <c r="AB728" s="0">
        <f>IF(J728="", "", VLOOKUP(J728, DanhSachChucDanhRange, 2, FALSE))</f>
      </c>
      <c r="AC728" s="0">
        <f>IF(L728="", "", VLOOKUP(L728, ThangLuongData, 2, FALSE))</f>
      </c>
      <c r="AD728" s="0">
        <f>IF(M728="", "", VLOOKUP(M728, NgachLuongData, 2, FALSE))</f>
      </c>
      <c r="AE728" s="0">
        <f>IF(N728="", "", VLOOKUP(N728, BacLuongData, 2, FALSE))</f>
      </c>
      <c r="AF728" s="0">
        <f>IF(P728="", "", VLOOKUP(P728, DanhSachCodeId, 3, FALSE))</f>
      </c>
    </row>
    <row r="729">
      <c r="A729" s="0">
        <f>IF(B729="", "", VLOOKUP(B729, DanhSachCodeId, 3, FALSE))</f>
      </c>
      <c r="C729" s="0">
        <f>IF(B729="", "", VLOOKUP(B729, DanhSachNhanVien, 2, FALSE))</f>
      </c>
      <c r="Q729" s="0">
        <f>IF(P729="", "", VLOOKUP(P729, DanhSachNhanVien, 2, FALSE))</f>
      </c>
      <c r="Z729" s="0">
        <f>IF(D729="", "", VLOOKUP(D729, DanhSachLoaiQuyetDinhRange, 2, FALSE))</f>
      </c>
      <c r="AA729" s="0">
        <f>IF(I729="", "", VLOOKUP(I729, DanhSachPhongBanRange, 2, FALSE))</f>
      </c>
      <c r="AB729" s="0">
        <f>IF(J729="", "", VLOOKUP(J729, DanhSachChucDanhRange, 2, FALSE))</f>
      </c>
      <c r="AC729" s="0">
        <f>IF(L729="", "", VLOOKUP(L729, ThangLuongData, 2, FALSE))</f>
      </c>
      <c r="AD729" s="0">
        <f>IF(M729="", "", VLOOKUP(M729, NgachLuongData, 2, FALSE))</f>
      </c>
      <c r="AE729" s="0">
        <f>IF(N729="", "", VLOOKUP(N729, BacLuongData, 2, FALSE))</f>
      </c>
      <c r="AF729" s="0">
        <f>IF(P729="", "", VLOOKUP(P729, DanhSachCodeId, 3, FALSE))</f>
      </c>
    </row>
    <row r="730">
      <c r="A730" s="0">
        <f>IF(B730="", "", VLOOKUP(B730, DanhSachCodeId, 3, FALSE))</f>
      </c>
      <c r="C730" s="0">
        <f>IF(B730="", "", VLOOKUP(B730, DanhSachNhanVien, 2, FALSE))</f>
      </c>
      <c r="Q730" s="0">
        <f>IF(P730="", "", VLOOKUP(P730, DanhSachNhanVien, 2, FALSE))</f>
      </c>
      <c r="Z730" s="0">
        <f>IF(D730="", "", VLOOKUP(D730, DanhSachLoaiQuyetDinhRange, 2, FALSE))</f>
      </c>
      <c r="AA730" s="0">
        <f>IF(I730="", "", VLOOKUP(I730, DanhSachPhongBanRange, 2, FALSE))</f>
      </c>
      <c r="AB730" s="0">
        <f>IF(J730="", "", VLOOKUP(J730, DanhSachChucDanhRange, 2, FALSE))</f>
      </c>
      <c r="AC730" s="0">
        <f>IF(L730="", "", VLOOKUP(L730, ThangLuongData, 2, FALSE))</f>
      </c>
      <c r="AD730" s="0">
        <f>IF(M730="", "", VLOOKUP(M730, NgachLuongData, 2, FALSE))</f>
      </c>
      <c r="AE730" s="0">
        <f>IF(N730="", "", VLOOKUP(N730, BacLuongData, 2, FALSE))</f>
      </c>
      <c r="AF730" s="0">
        <f>IF(P730="", "", VLOOKUP(P730, DanhSachCodeId, 3, FALSE))</f>
      </c>
    </row>
    <row r="731">
      <c r="A731" s="0">
        <f>IF(B731="", "", VLOOKUP(B731, DanhSachCodeId, 3, FALSE))</f>
      </c>
      <c r="C731" s="0">
        <f>IF(B731="", "", VLOOKUP(B731, DanhSachNhanVien, 2, FALSE))</f>
      </c>
      <c r="Q731" s="0">
        <f>IF(P731="", "", VLOOKUP(P731, DanhSachNhanVien, 2, FALSE))</f>
      </c>
      <c r="Z731" s="0">
        <f>IF(D731="", "", VLOOKUP(D731, DanhSachLoaiQuyetDinhRange, 2, FALSE))</f>
      </c>
      <c r="AA731" s="0">
        <f>IF(I731="", "", VLOOKUP(I731, DanhSachPhongBanRange, 2, FALSE))</f>
      </c>
      <c r="AB731" s="0">
        <f>IF(J731="", "", VLOOKUP(J731, DanhSachChucDanhRange, 2, FALSE))</f>
      </c>
      <c r="AC731" s="0">
        <f>IF(L731="", "", VLOOKUP(L731, ThangLuongData, 2, FALSE))</f>
      </c>
      <c r="AD731" s="0">
        <f>IF(M731="", "", VLOOKUP(M731, NgachLuongData, 2, FALSE))</f>
      </c>
      <c r="AE731" s="0">
        <f>IF(N731="", "", VLOOKUP(N731, BacLuongData, 2, FALSE))</f>
      </c>
      <c r="AF731" s="0">
        <f>IF(P731="", "", VLOOKUP(P731, DanhSachCodeId, 3, FALSE))</f>
      </c>
    </row>
    <row r="732">
      <c r="A732" s="0">
        <f>IF(B732="", "", VLOOKUP(B732, DanhSachCodeId, 3, FALSE))</f>
      </c>
      <c r="C732" s="0">
        <f>IF(B732="", "", VLOOKUP(B732, DanhSachNhanVien, 2, FALSE))</f>
      </c>
      <c r="Q732" s="0">
        <f>IF(P732="", "", VLOOKUP(P732, DanhSachNhanVien, 2, FALSE))</f>
      </c>
      <c r="Z732" s="0">
        <f>IF(D732="", "", VLOOKUP(D732, DanhSachLoaiQuyetDinhRange, 2, FALSE))</f>
      </c>
      <c r="AA732" s="0">
        <f>IF(I732="", "", VLOOKUP(I732, DanhSachPhongBanRange, 2, FALSE))</f>
      </c>
      <c r="AB732" s="0">
        <f>IF(J732="", "", VLOOKUP(J732, DanhSachChucDanhRange, 2, FALSE))</f>
      </c>
      <c r="AC732" s="0">
        <f>IF(L732="", "", VLOOKUP(L732, ThangLuongData, 2, FALSE))</f>
      </c>
      <c r="AD732" s="0">
        <f>IF(M732="", "", VLOOKUP(M732, NgachLuongData, 2, FALSE))</f>
      </c>
      <c r="AE732" s="0">
        <f>IF(N732="", "", VLOOKUP(N732, BacLuongData, 2, FALSE))</f>
      </c>
      <c r="AF732" s="0">
        <f>IF(P732="", "", VLOOKUP(P732, DanhSachCodeId, 3, FALSE))</f>
      </c>
    </row>
    <row r="733">
      <c r="A733" s="0">
        <f>IF(B733="", "", VLOOKUP(B733, DanhSachCodeId, 3, FALSE))</f>
      </c>
      <c r="C733" s="0">
        <f>IF(B733="", "", VLOOKUP(B733, DanhSachNhanVien, 2, FALSE))</f>
      </c>
      <c r="Q733" s="0">
        <f>IF(P733="", "", VLOOKUP(P733, DanhSachNhanVien, 2, FALSE))</f>
      </c>
      <c r="Z733" s="0">
        <f>IF(D733="", "", VLOOKUP(D733, DanhSachLoaiQuyetDinhRange, 2, FALSE))</f>
      </c>
      <c r="AA733" s="0">
        <f>IF(I733="", "", VLOOKUP(I733, DanhSachPhongBanRange, 2, FALSE))</f>
      </c>
      <c r="AB733" s="0">
        <f>IF(J733="", "", VLOOKUP(J733, DanhSachChucDanhRange, 2, FALSE))</f>
      </c>
      <c r="AC733" s="0">
        <f>IF(L733="", "", VLOOKUP(L733, ThangLuongData, 2, FALSE))</f>
      </c>
      <c r="AD733" s="0">
        <f>IF(M733="", "", VLOOKUP(M733, NgachLuongData, 2, FALSE))</f>
      </c>
      <c r="AE733" s="0">
        <f>IF(N733="", "", VLOOKUP(N733, BacLuongData, 2, FALSE))</f>
      </c>
      <c r="AF733" s="0">
        <f>IF(P733="", "", VLOOKUP(P733, DanhSachCodeId, 3, FALSE))</f>
      </c>
    </row>
    <row r="734">
      <c r="A734" s="0">
        <f>IF(B734="", "", VLOOKUP(B734, DanhSachCodeId, 3, FALSE))</f>
      </c>
      <c r="C734" s="0">
        <f>IF(B734="", "", VLOOKUP(B734, DanhSachNhanVien, 2, FALSE))</f>
      </c>
      <c r="Q734" s="0">
        <f>IF(P734="", "", VLOOKUP(P734, DanhSachNhanVien, 2, FALSE))</f>
      </c>
      <c r="Z734" s="0">
        <f>IF(D734="", "", VLOOKUP(D734, DanhSachLoaiQuyetDinhRange, 2, FALSE))</f>
      </c>
      <c r="AA734" s="0">
        <f>IF(I734="", "", VLOOKUP(I734, DanhSachPhongBanRange, 2, FALSE))</f>
      </c>
      <c r="AB734" s="0">
        <f>IF(J734="", "", VLOOKUP(J734, DanhSachChucDanhRange, 2, FALSE))</f>
      </c>
      <c r="AC734" s="0">
        <f>IF(L734="", "", VLOOKUP(L734, ThangLuongData, 2, FALSE))</f>
      </c>
      <c r="AD734" s="0">
        <f>IF(M734="", "", VLOOKUP(M734, NgachLuongData, 2, FALSE))</f>
      </c>
      <c r="AE734" s="0">
        <f>IF(N734="", "", VLOOKUP(N734, BacLuongData, 2, FALSE))</f>
      </c>
      <c r="AF734" s="0">
        <f>IF(P734="", "", VLOOKUP(P734, DanhSachCodeId, 3, FALSE))</f>
      </c>
    </row>
    <row r="735">
      <c r="A735" s="0">
        <f>IF(B735="", "", VLOOKUP(B735, DanhSachCodeId, 3, FALSE))</f>
      </c>
      <c r="C735" s="0">
        <f>IF(B735="", "", VLOOKUP(B735, DanhSachNhanVien, 2, FALSE))</f>
      </c>
      <c r="Q735" s="0">
        <f>IF(P735="", "", VLOOKUP(P735, DanhSachNhanVien, 2, FALSE))</f>
      </c>
      <c r="Z735" s="0">
        <f>IF(D735="", "", VLOOKUP(D735, DanhSachLoaiQuyetDinhRange, 2, FALSE))</f>
      </c>
      <c r="AA735" s="0">
        <f>IF(I735="", "", VLOOKUP(I735, DanhSachPhongBanRange, 2, FALSE))</f>
      </c>
      <c r="AB735" s="0">
        <f>IF(J735="", "", VLOOKUP(J735, DanhSachChucDanhRange, 2, FALSE))</f>
      </c>
      <c r="AC735" s="0">
        <f>IF(L735="", "", VLOOKUP(L735, ThangLuongData, 2, FALSE))</f>
      </c>
      <c r="AD735" s="0">
        <f>IF(M735="", "", VLOOKUP(M735, NgachLuongData, 2, FALSE))</f>
      </c>
      <c r="AE735" s="0">
        <f>IF(N735="", "", VLOOKUP(N735, BacLuongData, 2, FALSE))</f>
      </c>
      <c r="AF735" s="0">
        <f>IF(P735="", "", VLOOKUP(P735, DanhSachCodeId, 3, FALSE))</f>
      </c>
    </row>
    <row r="736">
      <c r="A736" s="0">
        <f>IF(B736="", "", VLOOKUP(B736, DanhSachCodeId, 3, FALSE))</f>
      </c>
      <c r="C736" s="0">
        <f>IF(B736="", "", VLOOKUP(B736, DanhSachNhanVien, 2, FALSE))</f>
      </c>
      <c r="Q736" s="0">
        <f>IF(P736="", "", VLOOKUP(P736, DanhSachNhanVien, 2, FALSE))</f>
      </c>
      <c r="Z736" s="0">
        <f>IF(D736="", "", VLOOKUP(D736, DanhSachLoaiQuyetDinhRange, 2, FALSE))</f>
      </c>
      <c r="AA736" s="0">
        <f>IF(I736="", "", VLOOKUP(I736, DanhSachPhongBanRange, 2, FALSE))</f>
      </c>
      <c r="AB736" s="0">
        <f>IF(J736="", "", VLOOKUP(J736, DanhSachChucDanhRange, 2, FALSE))</f>
      </c>
      <c r="AC736" s="0">
        <f>IF(L736="", "", VLOOKUP(L736, ThangLuongData, 2, FALSE))</f>
      </c>
      <c r="AD736" s="0">
        <f>IF(M736="", "", VLOOKUP(M736, NgachLuongData, 2, FALSE))</f>
      </c>
      <c r="AE736" s="0">
        <f>IF(N736="", "", VLOOKUP(N736, BacLuongData, 2, FALSE))</f>
      </c>
      <c r="AF736" s="0">
        <f>IF(P736="", "", VLOOKUP(P736, DanhSachCodeId, 3, FALSE))</f>
      </c>
    </row>
    <row r="737">
      <c r="A737" s="0">
        <f>IF(B737="", "", VLOOKUP(B737, DanhSachCodeId, 3, FALSE))</f>
      </c>
      <c r="C737" s="0">
        <f>IF(B737="", "", VLOOKUP(B737, DanhSachNhanVien, 2, FALSE))</f>
      </c>
      <c r="Q737" s="0">
        <f>IF(P737="", "", VLOOKUP(P737, DanhSachNhanVien, 2, FALSE))</f>
      </c>
      <c r="Z737" s="0">
        <f>IF(D737="", "", VLOOKUP(D737, DanhSachLoaiQuyetDinhRange, 2, FALSE))</f>
      </c>
      <c r="AA737" s="0">
        <f>IF(I737="", "", VLOOKUP(I737, DanhSachPhongBanRange, 2, FALSE))</f>
      </c>
      <c r="AB737" s="0">
        <f>IF(J737="", "", VLOOKUP(J737, DanhSachChucDanhRange, 2, FALSE))</f>
      </c>
      <c r="AC737" s="0">
        <f>IF(L737="", "", VLOOKUP(L737, ThangLuongData, 2, FALSE))</f>
      </c>
      <c r="AD737" s="0">
        <f>IF(M737="", "", VLOOKUP(M737, NgachLuongData, 2, FALSE))</f>
      </c>
      <c r="AE737" s="0">
        <f>IF(N737="", "", VLOOKUP(N737, BacLuongData, 2, FALSE))</f>
      </c>
      <c r="AF737" s="0">
        <f>IF(P737="", "", VLOOKUP(P737, DanhSachCodeId, 3, FALSE))</f>
      </c>
    </row>
    <row r="738">
      <c r="A738" s="0">
        <f>IF(B738="", "", VLOOKUP(B738, DanhSachCodeId, 3, FALSE))</f>
      </c>
      <c r="C738" s="0">
        <f>IF(B738="", "", VLOOKUP(B738, DanhSachNhanVien, 2, FALSE))</f>
      </c>
      <c r="Q738" s="0">
        <f>IF(P738="", "", VLOOKUP(P738, DanhSachNhanVien, 2, FALSE))</f>
      </c>
      <c r="Z738" s="0">
        <f>IF(D738="", "", VLOOKUP(D738, DanhSachLoaiQuyetDinhRange, 2, FALSE))</f>
      </c>
      <c r="AA738" s="0">
        <f>IF(I738="", "", VLOOKUP(I738, DanhSachPhongBanRange, 2, FALSE))</f>
      </c>
      <c r="AB738" s="0">
        <f>IF(J738="", "", VLOOKUP(J738, DanhSachChucDanhRange, 2, FALSE))</f>
      </c>
      <c r="AC738" s="0">
        <f>IF(L738="", "", VLOOKUP(L738, ThangLuongData, 2, FALSE))</f>
      </c>
      <c r="AD738" s="0">
        <f>IF(M738="", "", VLOOKUP(M738, NgachLuongData, 2, FALSE))</f>
      </c>
      <c r="AE738" s="0">
        <f>IF(N738="", "", VLOOKUP(N738, BacLuongData, 2, FALSE))</f>
      </c>
      <c r="AF738" s="0">
        <f>IF(P738="", "", VLOOKUP(P738, DanhSachCodeId, 3, FALSE))</f>
      </c>
    </row>
    <row r="739">
      <c r="A739" s="0">
        <f>IF(B739="", "", VLOOKUP(B739, DanhSachCodeId, 3, FALSE))</f>
      </c>
      <c r="C739" s="0">
        <f>IF(B739="", "", VLOOKUP(B739, DanhSachNhanVien, 2, FALSE))</f>
      </c>
      <c r="Q739" s="0">
        <f>IF(P739="", "", VLOOKUP(P739, DanhSachNhanVien, 2, FALSE))</f>
      </c>
      <c r="Z739" s="0">
        <f>IF(D739="", "", VLOOKUP(D739, DanhSachLoaiQuyetDinhRange, 2, FALSE))</f>
      </c>
      <c r="AA739" s="0">
        <f>IF(I739="", "", VLOOKUP(I739, DanhSachPhongBanRange, 2, FALSE))</f>
      </c>
      <c r="AB739" s="0">
        <f>IF(J739="", "", VLOOKUP(J739, DanhSachChucDanhRange, 2, FALSE))</f>
      </c>
      <c r="AC739" s="0">
        <f>IF(L739="", "", VLOOKUP(L739, ThangLuongData, 2, FALSE))</f>
      </c>
      <c r="AD739" s="0">
        <f>IF(M739="", "", VLOOKUP(M739, NgachLuongData, 2, FALSE))</f>
      </c>
      <c r="AE739" s="0">
        <f>IF(N739="", "", VLOOKUP(N739, BacLuongData, 2, FALSE))</f>
      </c>
      <c r="AF739" s="0">
        <f>IF(P739="", "", VLOOKUP(P739, DanhSachCodeId, 3, FALSE))</f>
      </c>
    </row>
    <row r="740">
      <c r="A740" s="0">
        <f>IF(B740="", "", VLOOKUP(B740, DanhSachCodeId, 3, FALSE))</f>
      </c>
      <c r="C740" s="0">
        <f>IF(B740="", "", VLOOKUP(B740, DanhSachNhanVien, 2, FALSE))</f>
      </c>
      <c r="Q740" s="0">
        <f>IF(P740="", "", VLOOKUP(P740, DanhSachNhanVien, 2, FALSE))</f>
      </c>
      <c r="Z740" s="0">
        <f>IF(D740="", "", VLOOKUP(D740, DanhSachLoaiQuyetDinhRange, 2, FALSE))</f>
      </c>
      <c r="AA740" s="0">
        <f>IF(I740="", "", VLOOKUP(I740, DanhSachPhongBanRange, 2, FALSE))</f>
      </c>
      <c r="AB740" s="0">
        <f>IF(J740="", "", VLOOKUP(J740, DanhSachChucDanhRange, 2, FALSE))</f>
      </c>
      <c r="AC740" s="0">
        <f>IF(L740="", "", VLOOKUP(L740, ThangLuongData, 2, FALSE))</f>
      </c>
      <c r="AD740" s="0">
        <f>IF(M740="", "", VLOOKUP(M740, NgachLuongData, 2, FALSE))</f>
      </c>
      <c r="AE740" s="0">
        <f>IF(N740="", "", VLOOKUP(N740, BacLuongData, 2, FALSE))</f>
      </c>
      <c r="AF740" s="0">
        <f>IF(P740="", "", VLOOKUP(P740, DanhSachCodeId, 3, FALSE))</f>
      </c>
    </row>
    <row r="741">
      <c r="A741" s="0">
        <f>IF(B741="", "", VLOOKUP(B741, DanhSachCodeId, 3, FALSE))</f>
      </c>
      <c r="C741" s="0">
        <f>IF(B741="", "", VLOOKUP(B741, DanhSachNhanVien, 2, FALSE))</f>
      </c>
      <c r="Q741" s="0">
        <f>IF(P741="", "", VLOOKUP(P741, DanhSachNhanVien, 2, FALSE))</f>
      </c>
      <c r="Z741" s="0">
        <f>IF(D741="", "", VLOOKUP(D741, DanhSachLoaiQuyetDinhRange, 2, FALSE))</f>
      </c>
      <c r="AA741" s="0">
        <f>IF(I741="", "", VLOOKUP(I741, DanhSachPhongBanRange, 2, FALSE))</f>
      </c>
      <c r="AB741" s="0">
        <f>IF(J741="", "", VLOOKUP(J741, DanhSachChucDanhRange, 2, FALSE))</f>
      </c>
      <c r="AC741" s="0">
        <f>IF(L741="", "", VLOOKUP(L741, ThangLuongData, 2, FALSE))</f>
      </c>
      <c r="AD741" s="0">
        <f>IF(M741="", "", VLOOKUP(M741, NgachLuongData, 2, FALSE))</f>
      </c>
      <c r="AE741" s="0">
        <f>IF(N741="", "", VLOOKUP(N741, BacLuongData, 2, FALSE))</f>
      </c>
      <c r="AF741" s="0">
        <f>IF(P741="", "", VLOOKUP(P741, DanhSachCodeId, 3, FALSE))</f>
      </c>
    </row>
    <row r="742">
      <c r="A742" s="0">
        <f>IF(B742="", "", VLOOKUP(B742, DanhSachCodeId, 3, FALSE))</f>
      </c>
      <c r="C742" s="0">
        <f>IF(B742="", "", VLOOKUP(B742, DanhSachNhanVien, 2, FALSE))</f>
      </c>
      <c r="Q742" s="0">
        <f>IF(P742="", "", VLOOKUP(P742, DanhSachNhanVien, 2, FALSE))</f>
      </c>
      <c r="Z742" s="0">
        <f>IF(D742="", "", VLOOKUP(D742, DanhSachLoaiQuyetDinhRange, 2, FALSE))</f>
      </c>
      <c r="AA742" s="0">
        <f>IF(I742="", "", VLOOKUP(I742, DanhSachPhongBanRange, 2, FALSE))</f>
      </c>
      <c r="AB742" s="0">
        <f>IF(J742="", "", VLOOKUP(J742, DanhSachChucDanhRange, 2, FALSE))</f>
      </c>
      <c r="AC742" s="0">
        <f>IF(L742="", "", VLOOKUP(L742, ThangLuongData, 2, FALSE))</f>
      </c>
      <c r="AD742" s="0">
        <f>IF(M742="", "", VLOOKUP(M742, NgachLuongData, 2, FALSE))</f>
      </c>
      <c r="AE742" s="0">
        <f>IF(N742="", "", VLOOKUP(N742, BacLuongData, 2, FALSE))</f>
      </c>
      <c r="AF742" s="0">
        <f>IF(P742="", "", VLOOKUP(P742, DanhSachCodeId, 3, FALSE))</f>
      </c>
    </row>
    <row r="743">
      <c r="A743" s="0">
        <f>IF(B743="", "", VLOOKUP(B743, DanhSachCodeId, 3, FALSE))</f>
      </c>
      <c r="C743" s="0">
        <f>IF(B743="", "", VLOOKUP(B743, DanhSachNhanVien, 2, FALSE))</f>
      </c>
      <c r="Q743" s="0">
        <f>IF(P743="", "", VLOOKUP(P743, DanhSachNhanVien, 2, FALSE))</f>
      </c>
      <c r="Z743" s="0">
        <f>IF(D743="", "", VLOOKUP(D743, DanhSachLoaiQuyetDinhRange, 2, FALSE))</f>
      </c>
      <c r="AA743" s="0">
        <f>IF(I743="", "", VLOOKUP(I743, DanhSachPhongBanRange, 2, FALSE))</f>
      </c>
      <c r="AB743" s="0">
        <f>IF(J743="", "", VLOOKUP(J743, DanhSachChucDanhRange, 2, FALSE))</f>
      </c>
      <c r="AC743" s="0">
        <f>IF(L743="", "", VLOOKUP(L743, ThangLuongData, 2, FALSE))</f>
      </c>
      <c r="AD743" s="0">
        <f>IF(M743="", "", VLOOKUP(M743, NgachLuongData, 2, FALSE))</f>
      </c>
      <c r="AE743" s="0">
        <f>IF(N743="", "", VLOOKUP(N743, BacLuongData, 2, FALSE))</f>
      </c>
      <c r="AF743" s="0">
        <f>IF(P743="", "", VLOOKUP(P743, DanhSachCodeId, 3, FALSE))</f>
      </c>
    </row>
    <row r="744">
      <c r="A744" s="0">
        <f>IF(B744="", "", VLOOKUP(B744, DanhSachCodeId, 3, FALSE))</f>
      </c>
      <c r="C744" s="0">
        <f>IF(B744="", "", VLOOKUP(B744, DanhSachNhanVien, 2, FALSE))</f>
      </c>
      <c r="Q744" s="0">
        <f>IF(P744="", "", VLOOKUP(P744, DanhSachNhanVien, 2, FALSE))</f>
      </c>
      <c r="Z744" s="0">
        <f>IF(D744="", "", VLOOKUP(D744, DanhSachLoaiQuyetDinhRange, 2, FALSE))</f>
      </c>
      <c r="AA744" s="0">
        <f>IF(I744="", "", VLOOKUP(I744, DanhSachPhongBanRange, 2, FALSE))</f>
      </c>
      <c r="AB744" s="0">
        <f>IF(J744="", "", VLOOKUP(J744, DanhSachChucDanhRange, 2, FALSE))</f>
      </c>
      <c r="AC744" s="0">
        <f>IF(L744="", "", VLOOKUP(L744, ThangLuongData, 2, FALSE))</f>
      </c>
      <c r="AD744" s="0">
        <f>IF(M744="", "", VLOOKUP(M744, NgachLuongData, 2, FALSE))</f>
      </c>
      <c r="AE744" s="0">
        <f>IF(N744="", "", VLOOKUP(N744, BacLuongData, 2, FALSE))</f>
      </c>
      <c r="AF744" s="0">
        <f>IF(P744="", "", VLOOKUP(P744, DanhSachCodeId, 3, FALSE))</f>
      </c>
    </row>
    <row r="745">
      <c r="A745" s="0">
        <f>IF(B745="", "", VLOOKUP(B745, DanhSachCodeId, 3, FALSE))</f>
      </c>
      <c r="C745" s="0">
        <f>IF(B745="", "", VLOOKUP(B745, DanhSachNhanVien, 2, FALSE))</f>
      </c>
      <c r="Q745" s="0">
        <f>IF(P745="", "", VLOOKUP(P745, DanhSachNhanVien, 2, FALSE))</f>
      </c>
      <c r="Z745" s="0">
        <f>IF(D745="", "", VLOOKUP(D745, DanhSachLoaiQuyetDinhRange, 2, FALSE))</f>
      </c>
      <c r="AA745" s="0">
        <f>IF(I745="", "", VLOOKUP(I745, DanhSachPhongBanRange, 2, FALSE))</f>
      </c>
      <c r="AB745" s="0">
        <f>IF(J745="", "", VLOOKUP(J745, DanhSachChucDanhRange, 2, FALSE))</f>
      </c>
      <c r="AC745" s="0">
        <f>IF(L745="", "", VLOOKUP(L745, ThangLuongData, 2, FALSE))</f>
      </c>
      <c r="AD745" s="0">
        <f>IF(M745="", "", VLOOKUP(M745, NgachLuongData, 2, FALSE))</f>
      </c>
      <c r="AE745" s="0">
        <f>IF(N745="", "", VLOOKUP(N745, BacLuongData, 2, FALSE))</f>
      </c>
      <c r="AF745" s="0">
        <f>IF(P745="", "", VLOOKUP(P745, DanhSachCodeId, 3, FALSE))</f>
      </c>
    </row>
    <row r="746">
      <c r="A746" s="0">
        <f>IF(B746="", "", VLOOKUP(B746, DanhSachCodeId, 3, FALSE))</f>
      </c>
      <c r="C746" s="0">
        <f>IF(B746="", "", VLOOKUP(B746, DanhSachNhanVien, 2, FALSE))</f>
      </c>
      <c r="Q746" s="0">
        <f>IF(P746="", "", VLOOKUP(P746, DanhSachNhanVien, 2, FALSE))</f>
      </c>
      <c r="Z746" s="0">
        <f>IF(D746="", "", VLOOKUP(D746, DanhSachLoaiQuyetDinhRange, 2, FALSE))</f>
      </c>
      <c r="AA746" s="0">
        <f>IF(I746="", "", VLOOKUP(I746, DanhSachPhongBanRange, 2, FALSE))</f>
      </c>
      <c r="AB746" s="0">
        <f>IF(J746="", "", VLOOKUP(J746, DanhSachChucDanhRange, 2, FALSE))</f>
      </c>
      <c r="AC746" s="0">
        <f>IF(L746="", "", VLOOKUP(L746, ThangLuongData, 2, FALSE))</f>
      </c>
      <c r="AD746" s="0">
        <f>IF(M746="", "", VLOOKUP(M746, NgachLuongData, 2, FALSE))</f>
      </c>
      <c r="AE746" s="0">
        <f>IF(N746="", "", VLOOKUP(N746, BacLuongData, 2, FALSE))</f>
      </c>
      <c r="AF746" s="0">
        <f>IF(P746="", "", VLOOKUP(P746, DanhSachCodeId, 3, FALSE))</f>
      </c>
    </row>
    <row r="747">
      <c r="A747" s="0">
        <f>IF(B747="", "", VLOOKUP(B747, DanhSachCodeId, 3, FALSE))</f>
      </c>
      <c r="C747" s="0">
        <f>IF(B747="", "", VLOOKUP(B747, DanhSachNhanVien, 2, FALSE))</f>
      </c>
      <c r="Q747" s="0">
        <f>IF(P747="", "", VLOOKUP(P747, DanhSachNhanVien, 2, FALSE))</f>
      </c>
      <c r="Z747" s="0">
        <f>IF(D747="", "", VLOOKUP(D747, DanhSachLoaiQuyetDinhRange, 2, FALSE))</f>
      </c>
      <c r="AA747" s="0">
        <f>IF(I747="", "", VLOOKUP(I747, DanhSachPhongBanRange, 2, FALSE))</f>
      </c>
      <c r="AB747" s="0">
        <f>IF(J747="", "", VLOOKUP(J747, DanhSachChucDanhRange, 2, FALSE))</f>
      </c>
      <c r="AC747" s="0">
        <f>IF(L747="", "", VLOOKUP(L747, ThangLuongData, 2, FALSE))</f>
      </c>
      <c r="AD747" s="0">
        <f>IF(M747="", "", VLOOKUP(M747, NgachLuongData, 2, FALSE))</f>
      </c>
      <c r="AE747" s="0">
        <f>IF(N747="", "", VLOOKUP(N747, BacLuongData, 2, FALSE))</f>
      </c>
      <c r="AF747" s="0">
        <f>IF(P747="", "", VLOOKUP(P747, DanhSachCodeId, 3, FALSE))</f>
      </c>
    </row>
    <row r="748">
      <c r="A748" s="0">
        <f>IF(B748="", "", VLOOKUP(B748, DanhSachCodeId, 3, FALSE))</f>
      </c>
      <c r="C748" s="0">
        <f>IF(B748="", "", VLOOKUP(B748, DanhSachNhanVien, 2, FALSE))</f>
      </c>
      <c r="Q748" s="0">
        <f>IF(P748="", "", VLOOKUP(P748, DanhSachNhanVien, 2, FALSE))</f>
      </c>
      <c r="Z748" s="0">
        <f>IF(D748="", "", VLOOKUP(D748, DanhSachLoaiQuyetDinhRange, 2, FALSE))</f>
      </c>
      <c r="AA748" s="0">
        <f>IF(I748="", "", VLOOKUP(I748, DanhSachPhongBanRange, 2, FALSE))</f>
      </c>
      <c r="AB748" s="0">
        <f>IF(J748="", "", VLOOKUP(J748, DanhSachChucDanhRange, 2, FALSE))</f>
      </c>
      <c r="AC748" s="0">
        <f>IF(L748="", "", VLOOKUP(L748, ThangLuongData, 2, FALSE))</f>
      </c>
      <c r="AD748" s="0">
        <f>IF(M748="", "", VLOOKUP(M748, NgachLuongData, 2, FALSE))</f>
      </c>
      <c r="AE748" s="0">
        <f>IF(N748="", "", VLOOKUP(N748, BacLuongData, 2, FALSE))</f>
      </c>
      <c r="AF748" s="0">
        <f>IF(P748="", "", VLOOKUP(P748, DanhSachCodeId, 3, FALSE))</f>
      </c>
    </row>
    <row r="749">
      <c r="A749" s="0">
        <f>IF(B749="", "", VLOOKUP(B749, DanhSachCodeId, 3, FALSE))</f>
      </c>
      <c r="C749" s="0">
        <f>IF(B749="", "", VLOOKUP(B749, DanhSachNhanVien, 2, FALSE))</f>
      </c>
      <c r="Q749" s="0">
        <f>IF(P749="", "", VLOOKUP(P749, DanhSachNhanVien, 2, FALSE))</f>
      </c>
      <c r="Z749" s="0">
        <f>IF(D749="", "", VLOOKUP(D749, DanhSachLoaiQuyetDinhRange, 2, FALSE))</f>
      </c>
      <c r="AA749" s="0">
        <f>IF(I749="", "", VLOOKUP(I749, DanhSachPhongBanRange, 2, FALSE))</f>
      </c>
      <c r="AB749" s="0">
        <f>IF(J749="", "", VLOOKUP(J749, DanhSachChucDanhRange, 2, FALSE))</f>
      </c>
      <c r="AC749" s="0">
        <f>IF(L749="", "", VLOOKUP(L749, ThangLuongData, 2, FALSE))</f>
      </c>
      <c r="AD749" s="0">
        <f>IF(M749="", "", VLOOKUP(M749, NgachLuongData, 2, FALSE))</f>
      </c>
      <c r="AE749" s="0">
        <f>IF(N749="", "", VLOOKUP(N749, BacLuongData, 2, FALSE))</f>
      </c>
      <c r="AF749" s="0">
        <f>IF(P749="", "", VLOOKUP(P749, DanhSachCodeId, 3, FALSE))</f>
      </c>
    </row>
    <row r="750">
      <c r="A750" s="0">
        <f>IF(B750="", "", VLOOKUP(B750, DanhSachCodeId, 3, FALSE))</f>
      </c>
      <c r="C750" s="0">
        <f>IF(B750="", "", VLOOKUP(B750, DanhSachNhanVien, 2, FALSE))</f>
      </c>
      <c r="Q750" s="0">
        <f>IF(P750="", "", VLOOKUP(P750, DanhSachNhanVien, 2, FALSE))</f>
      </c>
      <c r="Z750" s="0">
        <f>IF(D750="", "", VLOOKUP(D750, DanhSachLoaiQuyetDinhRange, 2, FALSE))</f>
      </c>
      <c r="AA750" s="0">
        <f>IF(I750="", "", VLOOKUP(I750, DanhSachPhongBanRange, 2, FALSE))</f>
      </c>
      <c r="AB750" s="0">
        <f>IF(J750="", "", VLOOKUP(J750, DanhSachChucDanhRange, 2, FALSE))</f>
      </c>
      <c r="AC750" s="0">
        <f>IF(L750="", "", VLOOKUP(L750, ThangLuongData, 2, FALSE))</f>
      </c>
      <c r="AD750" s="0">
        <f>IF(M750="", "", VLOOKUP(M750, NgachLuongData, 2, FALSE))</f>
      </c>
      <c r="AE750" s="0">
        <f>IF(N750="", "", VLOOKUP(N750, BacLuongData, 2, FALSE))</f>
      </c>
      <c r="AF750" s="0">
        <f>IF(P750="", "", VLOOKUP(P750, DanhSachCodeId, 3, FALSE))</f>
      </c>
    </row>
    <row r="751">
      <c r="A751" s="0">
        <f>IF(B751="", "", VLOOKUP(B751, DanhSachCodeId, 3, FALSE))</f>
      </c>
      <c r="C751" s="0">
        <f>IF(B751="", "", VLOOKUP(B751, DanhSachNhanVien, 2, FALSE))</f>
      </c>
      <c r="Q751" s="0">
        <f>IF(P751="", "", VLOOKUP(P751, DanhSachNhanVien, 2, FALSE))</f>
      </c>
      <c r="Z751" s="0">
        <f>IF(D751="", "", VLOOKUP(D751, DanhSachLoaiQuyetDinhRange, 2, FALSE))</f>
      </c>
      <c r="AA751" s="0">
        <f>IF(I751="", "", VLOOKUP(I751, DanhSachPhongBanRange, 2, FALSE))</f>
      </c>
      <c r="AB751" s="0">
        <f>IF(J751="", "", VLOOKUP(J751, DanhSachChucDanhRange, 2, FALSE))</f>
      </c>
      <c r="AC751" s="0">
        <f>IF(L751="", "", VLOOKUP(L751, ThangLuongData, 2, FALSE))</f>
      </c>
      <c r="AD751" s="0">
        <f>IF(M751="", "", VLOOKUP(M751, NgachLuongData, 2, FALSE))</f>
      </c>
      <c r="AE751" s="0">
        <f>IF(N751="", "", VLOOKUP(N751, BacLuongData, 2, FALSE))</f>
      </c>
      <c r="AF751" s="0">
        <f>IF(P751="", "", VLOOKUP(P751, DanhSachCodeId, 3, FALSE))</f>
      </c>
    </row>
    <row r="752">
      <c r="A752" s="0">
        <f>IF(B752="", "", VLOOKUP(B752, DanhSachCodeId, 3, FALSE))</f>
      </c>
      <c r="C752" s="0">
        <f>IF(B752="", "", VLOOKUP(B752, DanhSachNhanVien, 2, FALSE))</f>
      </c>
      <c r="Q752" s="0">
        <f>IF(P752="", "", VLOOKUP(P752, DanhSachNhanVien, 2, FALSE))</f>
      </c>
      <c r="Z752" s="0">
        <f>IF(D752="", "", VLOOKUP(D752, DanhSachLoaiQuyetDinhRange, 2, FALSE))</f>
      </c>
      <c r="AA752" s="0">
        <f>IF(I752="", "", VLOOKUP(I752, DanhSachPhongBanRange, 2, FALSE))</f>
      </c>
      <c r="AB752" s="0">
        <f>IF(J752="", "", VLOOKUP(J752, DanhSachChucDanhRange, 2, FALSE))</f>
      </c>
      <c r="AC752" s="0">
        <f>IF(L752="", "", VLOOKUP(L752, ThangLuongData, 2, FALSE))</f>
      </c>
      <c r="AD752" s="0">
        <f>IF(M752="", "", VLOOKUP(M752, NgachLuongData, 2, FALSE))</f>
      </c>
      <c r="AE752" s="0">
        <f>IF(N752="", "", VLOOKUP(N752, BacLuongData, 2, FALSE))</f>
      </c>
      <c r="AF752" s="0">
        <f>IF(P752="", "", VLOOKUP(P752, DanhSachCodeId, 3, FALSE))</f>
      </c>
    </row>
    <row r="753">
      <c r="A753" s="0">
        <f>IF(B753="", "", VLOOKUP(B753, DanhSachCodeId, 3, FALSE))</f>
      </c>
      <c r="C753" s="0">
        <f>IF(B753="", "", VLOOKUP(B753, DanhSachNhanVien, 2, FALSE))</f>
      </c>
      <c r="Q753" s="0">
        <f>IF(P753="", "", VLOOKUP(P753, DanhSachNhanVien, 2, FALSE))</f>
      </c>
      <c r="Z753" s="0">
        <f>IF(D753="", "", VLOOKUP(D753, DanhSachLoaiQuyetDinhRange, 2, FALSE))</f>
      </c>
      <c r="AA753" s="0">
        <f>IF(I753="", "", VLOOKUP(I753, DanhSachPhongBanRange, 2, FALSE))</f>
      </c>
      <c r="AB753" s="0">
        <f>IF(J753="", "", VLOOKUP(J753, DanhSachChucDanhRange, 2, FALSE))</f>
      </c>
      <c r="AC753" s="0">
        <f>IF(L753="", "", VLOOKUP(L753, ThangLuongData, 2, FALSE))</f>
      </c>
      <c r="AD753" s="0">
        <f>IF(M753="", "", VLOOKUP(M753, NgachLuongData, 2, FALSE))</f>
      </c>
      <c r="AE753" s="0">
        <f>IF(N753="", "", VLOOKUP(N753, BacLuongData, 2, FALSE))</f>
      </c>
      <c r="AF753" s="0">
        <f>IF(P753="", "", VLOOKUP(P753, DanhSachCodeId, 3, FALSE))</f>
      </c>
    </row>
    <row r="754">
      <c r="A754" s="0">
        <f>IF(B754="", "", VLOOKUP(B754, DanhSachCodeId, 3, FALSE))</f>
      </c>
      <c r="C754" s="0">
        <f>IF(B754="", "", VLOOKUP(B754, DanhSachNhanVien, 2, FALSE))</f>
      </c>
      <c r="Q754" s="0">
        <f>IF(P754="", "", VLOOKUP(P754, DanhSachNhanVien, 2, FALSE))</f>
      </c>
      <c r="Z754" s="0">
        <f>IF(D754="", "", VLOOKUP(D754, DanhSachLoaiQuyetDinhRange, 2, FALSE))</f>
      </c>
      <c r="AA754" s="0">
        <f>IF(I754="", "", VLOOKUP(I754, DanhSachPhongBanRange, 2, FALSE))</f>
      </c>
      <c r="AB754" s="0">
        <f>IF(J754="", "", VLOOKUP(J754, DanhSachChucDanhRange, 2, FALSE))</f>
      </c>
      <c r="AC754" s="0">
        <f>IF(L754="", "", VLOOKUP(L754, ThangLuongData, 2, FALSE))</f>
      </c>
      <c r="AD754" s="0">
        <f>IF(M754="", "", VLOOKUP(M754, NgachLuongData, 2, FALSE))</f>
      </c>
      <c r="AE754" s="0">
        <f>IF(N754="", "", VLOOKUP(N754, BacLuongData, 2, FALSE))</f>
      </c>
      <c r="AF754" s="0">
        <f>IF(P754="", "", VLOOKUP(P754, DanhSachCodeId, 3, FALSE))</f>
      </c>
    </row>
    <row r="755">
      <c r="A755" s="0">
        <f>IF(B755="", "", VLOOKUP(B755, DanhSachCodeId, 3, FALSE))</f>
      </c>
      <c r="C755" s="0">
        <f>IF(B755="", "", VLOOKUP(B755, DanhSachNhanVien, 2, FALSE))</f>
      </c>
      <c r="Q755" s="0">
        <f>IF(P755="", "", VLOOKUP(P755, DanhSachNhanVien, 2, FALSE))</f>
      </c>
      <c r="Z755" s="0">
        <f>IF(D755="", "", VLOOKUP(D755, DanhSachLoaiQuyetDinhRange, 2, FALSE))</f>
      </c>
      <c r="AA755" s="0">
        <f>IF(I755="", "", VLOOKUP(I755, DanhSachPhongBanRange, 2, FALSE))</f>
      </c>
      <c r="AB755" s="0">
        <f>IF(J755="", "", VLOOKUP(J755, DanhSachChucDanhRange, 2, FALSE))</f>
      </c>
      <c r="AC755" s="0">
        <f>IF(L755="", "", VLOOKUP(L755, ThangLuongData, 2, FALSE))</f>
      </c>
      <c r="AD755" s="0">
        <f>IF(M755="", "", VLOOKUP(M755, NgachLuongData, 2, FALSE))</f>
      </c>
      <c r="AE755" s="0">
        <f>IF(N755="", "", VLOOKUP(N755, BacLuongData, 2, FALSE))</f>
      </c>
      <c r="AF755" s="0">
        <f>IF(P755="", "", VLOOKUP(P755, DanhSachCodeId, 3, FALSE))</f>
      </c>
    </row>
    <row r="756">
      <c r="A756" s="0">
        <f>IF(B756="", "", VLOOKUP(B756, DanhSachCodeId, 3, FALSE))</f>
      </c>
      <c r="C756" s="0">
        <f>IF(B756="", "", VLOOKUP(B756, DanhSachNhanVien, 2, FALSE))</f>
      </c>
      <c r="Q756" s="0">
        <f>IF(P756="", "", VLOOKUP(P756, DanhSachNhanVien, 2, FALSE))</f>
      </c>
      <c r="Z756" s="0">
        <f>IF(D756="", "", VLOOKUP(D756, DanhSachLoaiQuyetDinhRange, 2, FALSE))</f>
      </c>
      <c r="AA756" s="0">
        <f>IF(I756="", "", VLOOKUP(I756, DanhSachPhongBanRange, 2, FALSE))</f>
      </c>
      <c r="AB756" s="0">
        <f>IF(J756="", "", VLOOKUP(J756, DanhSachChucDanhRange, 2, FALSE))</f>
      </c>
      <c r="AC756" s="0">
        <f>IF(L756="", "", VLOOKUP(L756, ThangLuongData, 2, FALSE))</f>
      </c>
      <c r="AD756" s="0">
        <f>IF(M756="", "", VLOOKUP(M756, NgachLuongData, 2, FALSE))</f>
      </c>
      <c r="AE756" s="0">
        <f>IF(N756="", "", VLOOKUP(N756, BacLuongData, 2, FALSE))</f>
      </c>
      <c r="AF756" s="0">
        <f>IF(P756="", "", VLOOKUP(P756, DanhSachCodeId, 3, FALSE))</f>
      </c>
    </row>
    <row r="757">
      <c r="A757" s="0">
        <f>IF(B757="", "", VLOOKUP(B757, DanhSachCodeId, 3, FALSE))</f>
      </c>
      <c r="C757" s="0">
        <f>IF(B757="", "", VLOOKUP(B757, DanhSachNhanVien, 2, FALSE))</f>
      </c>
      <c r="Q757" s="0">
        <f>IF(P757="", "", VLOOKUP(P757, DanhSachNhanVien, 2, FALSE))</f>
      </c>
      <c r="Z757" s="0">
        <f>IF(D757="", "", VLOOKUP(D757, DanhSachLoaiQuyetDinhRange, 2, FALSE))</f>
      </c>
      <c r="AA757" s="0">
        <f>IF(I757="", "", VLOOKUP(I757, DanhSachPhongBanRange, 2, FALSE))</f>
      </c>
      <c r="AB757" s="0">
        <f>IF(J757="", "", VLOOKUP(J757, DanhSachChucDanhRange, 2, FALSE))</f>
      </c>
      <c r="AC757" s="0">
        <f>IF(L757="", "", VLOOKUP(L757, ThangLuongData, 2, FALSE))</f>
      </c>
      <c r="AD757" s="0">
        <f>IF(M757="", "", VLOOKUP(M757, NgachLuongData, 2, FALSE))</f>
      </c>
      <c r="AE757" s="0">
        <f>IF(N757="", "", VLOOKUP(N757, BacLuongData, 2, FALSE))</f>
      </c>
      <c r="AF757" s="0">
        <f>IF(P757="", "", VLOOKUP(P757, DanhSachCodeId, 3, FALSE))</f>
      </c>
    </row>
    <row r="758">
      <c r="A758" s="0">
        <f>IF(B758="", "", VLOOKUP(B758, DanhSachCodeId, 3, FALSE))</f>
      </c>
      <c r="C758" s="0">
        <f>IF(B758="", "", VLOOKUP(B758, DanhSachNhanVien, 2, FALSE))</f>
      </c>
      <c r="Q758" s="0">
        <f>IF(P758="", "", VLOOKUP(P758, DanhSachNhanVien, 2, FALSE))</f>
      </c>
      <c r="Z758" s="0">
        <f>IF(D758="", "", VLOOKUP(D758, DanhSachLoaiQuyetDinhRange, 2, FALSE))</f>
      </c>
      <c r="AA758" s="0">
        <f>IF(I758="", "", VLOOKUP(I758, DanhSachPhongBanRange, 2, FALSE))</f>
      </c>
      <c r="AB758" s="0">
        <f>IF(J758="", "", VLOOKUP(J758, DanhSachChucDanhRange, 2, FALSE))</f>
      </c>
      <c r="AC758" s="0">
        <f>IF(L758="", "", VLOOKUP(L758, ThangLuongData, 2, FALSE))</f>
      </c>
      <c r="AD758" s="0">
        <f>IF(M758="", "", VLOOKUP(M758, NgachLuongData, 2, FALSE))</f>
      </c>
      <c r="AE758" s="0">
        <f>IF(N758="", "", VLOOKUP(N758, BacLuongData, 2, FALSE))</f>
      </c>
      <c r="AF758" s="0">
        <f>IF(P758="", "", VLOOKUP(P758, DanhSachCodeId, 3, FALSE))</f>
      </c>
    </row>
    <row r="759">
      <c r="A759" s="0">
        <f>IF(B759="", "", VLOOKUP(B759, DanhSachCodeId, 3, FALSE))</f>
      </c>
      <c r="C759" s="0">
        <f>IF(B759="", "", VLOOKUP(B759, DanhSachNhanVien, 2, FALSE))</f>
      </c>
      <c r="Q759" s="0">
        <f>IF(P759="", "", VLOOKUP(P759, DanhSachNhanVien, 2, FALSE))</f>
      </c>
      <c r="Z759" s="0">
        <f>IF(D759="", "", VLOOKUP(D759, DanhSachLoaiQuyetDinhRange, 2, FALSE))</f>
      </c>
      <c r="AA759" s="0">
        <f>IF(I759="", "", VLOOKUP(I759, DanhSachPhongBanRange, 2, FALSE))</f>
      </c>
      <c r="AB759" s="0">
        <f>IF(J759="", "", VLOOKUP(J759, DanhSachChucDanhRange, 2, FALSE))</f>
      </c>
      <c r="AC759" s="0">
        <f>IF(L759="", "", VLOOKUP(L759, ThangLuongData, 2, FALSE))</f>
      </c>
      <c r="AD759" s="0">
        <f>IF(M759="", "", VLOOKUP(M759, NgachLuongData, 2, FALSE))</f>
      </c>
      <c r="AE759" s="0">
        <f>IF(N759="", "", VLOOKUP(N759, BacLuongData, 2, FALSE))</f>
      </c>
      <c r="AF759" s="0">
        <f>IF(P759="", "", VLOOKUP(P759, DanhSachCodeId, 3, FALSE))</f>
      </c>
    </row>
    <row r="760">
      <c r="A760" s="0">
        <f>IF(B760="", "", VLOOKUP(B760, DanhSachCodeId, 3, FALSE))</f>
      </c>
      <c r="C760" s="0">
        <f>IF(B760="", "", VLOOKUP(B760, DanhSachNhanVien, 2, FALSE))</f>
      </c>
      <c r="Q760" s="0">
        <f>IF(P760="", "", VLOOKUP(P760, DanhSachNhanVien, 2, FALSE))</f>
      </c>
      <c r="Z760" s="0">
        <f>IF(D760="", "", VLOOKUP(D760, DanhSachLoaiQuyetDinhRange, 2, FALSE))</f>
      </c>
      <c r="AA760" s="0">
        <f>IF(I760="", "", VLOOKUP(I760, DanhSachPhongBanRange, 2, FALSE))</f>
      </c>
      <c r="AB760" s="0">
        <f>IF(J760="", "", VLOOKUP(J760, DanhSachChucDanhRange, 2, FALSE))</f>
      </c>
      <c r="AC760" s="0">
        <f>IF(L760="", "", VLOOKUP(L760, ThangLuongData, 2, FALSE))</f>
      </c>
      <c r="AD760" s="0">
        <f>IF(M760="", "", VLOOKUP(M760, NgachLuongData, 2, FALSE))</f>
      </c>
      <c r="AE760" s="0">
        <f>IF(N760="", "", VLOOKUP(N760, BacLuongData, 2, FALSE))</f>
      </c>
      <c r="AF760" s="0">
        <f>IF(P760="", "", VLOOKUP(P760, DanhSachCodeId, 3, FALSE))</f>
      </c>
    </row>
    <row r="761">
      <c r="A761" s="0">
        <f>IF(B761="", "", VLOOKUP(B761, DanhSachCodeId, 3, FALSE))</f>
      </c>
      <c r="C761" s="0">
        <f>IF(B761="", "", VLOOKUP(B761, DanhSachNhanVien, 2, FALSE))</f>
      </c>
      <c r="Q761" s="0">
        <f>IF(P761="", "", VLOOKUP(P761, DanhSachNhanVien, 2, FALSE))</f>
      </c>
      <c r="Z761" s="0">
        <f>IF(D761="", "", VLOOKUP(D761, DanhSachLoaiQuyetDinhRange, 2, FALSE))</f>
      </c>
      <c r="AA761" s="0">
        <f>IF(I761="", "", VLOOKUP(I761, DanhSachPhongBanRange, 2, FALSE))</f>
      </c>
      <c r="AB761" s="0">
        <f>IF(J761="", "", VLOOKUP(J761, DanhSachChucDanhRange, 2, FALSE))</f>
      </c>
      <c r="AC761" s="0">
        <f>IF(L761="", "", VLOOKUP(L761, ThangLuongData, 2, FALSE))</f>
      </c>
      <c r="AD761" s="0">
        <f>IF(M761="", "", VLOOKUP(M761, NgachLuongData, 2, FALSE))</f>
      </c>
      <c r="AE761" s="0">
        <f>IF(N761="", "", VLOOKUP(N761, BacLuongData, 2, FALSE))</f>
      </c>
      <c r="AF761" s="0">
        <f>IF(P761="", "", VLOOKUP(P761, DanhSachCodeId, 3, FALSE))</f>
      </c>
    </row>
    <row r="762">
      <c r="A762" s="0">
        <f>IF(B762="", "", VLOOKUP(B762, DanhSachCodeId, 3, FALSE))</f>
      </c>
      <c r="C762" s="0">
        <f>IF(B762="", "", VLOOKUP(B762, DanhSachNhanVien, 2, FALSE))</f>
      </c>
      <c r="Q762" s="0">
        <f>IF(P762="", "", VLOOKUP(P762, DanhSachNhanVien, 2, FALSE))</f>
      </c>
      <c r="Z762" s="0">
        <f>IF(D762="", "", VLOOKUP(D762, DanhSachLoaiQuyetDinhRange, 2, FALSE))</f>
      </c>
      <c r="AA762" s="0">
        <f>IF(I762="", "", VLOOKUP(I762, DanhSachPhongBanRange, 2, FALSE))</f>
      </c>
      <c r="AB762" s="0">
        <f>IF(J762="", "", VLOOKUP(J762, DanhSachChucDanhRange, 2, FALSE))</f>
      </c>
      <c r="AC762" s="0">
        <f>IF(L762="", "", VLOOKUP(L762, ThangLuongData, 2, FALSE))</f>
      </c>
      <c r="AD762" s="0">
        <f>IF(M762="", "", VLOOKUP(M762, NgachLuongData, 2, FALSE))</f>
      </c>
      <c r="AE762" s="0">
        <f>IF(N762="", "", VLOOKUP(N762, BacLuongData, 2, FALSE))</f>
      </c>
      <c r="AF762" s="0">
        <f>IF(P762="", "", VLOOKUP(P762, DanhSachCodeId, 3, FALSE))</f>
      </c>
    </row>
    <row r="763">
      <c r="A763" s="0">
        <f>IF(B763="", "", VLOOKUP(B763, DanhSachCodeId, 3, FALSE))</f>
      </c>
      <c r="C763" s="0">
        <f>IF(B763="", "", VLOOKUP(B763, DanhSachNhanVien, 2, FALSE))</f>
      </c>
      <c r="Q763" s="0">
        <f>IF(P763="", "", VLOOKUP(P763, DanhSachNhanVien, 2, FALSE))</f>
      </c>
      <c r="Z763" s="0">
        <f>IF(D763="", "", VLOOKUP(D763, DanhSachLoaiQuyetDinhRange, 2, FALSE))</f>
      </c>
      <c r="AA763" s="0">
        <f>IF(I763="", "", VLOOKUP(I763, DanhSachPhongBanRange, 2, FALSE))</f>
      </c>
      <c r="AB763" s="0">
        <f>IF(J763="", "", VLOOKUP(J763, DanhSachChucDanhRange, 2, FALSE))</f>
      </c>
      <c r="AC763" s="0">
        <f>IF(L763="", "", VLOOKUP(L763, ThangLuongData, 2, FALSE))</f>
      </c>
      <c r="AD763" s="0">
        <f>IF(M763="", "", VLOOKUP(M763, NgachLuongData, 2, FALSE))</f>
      </c>
      <c r="AE763" s="0">
        <f>IF(N763="", "", VLOOKUP(N763, BacLuongData, 2, FALSE))</f>
      </c>
      <c r="AF763" s="0">
        <f>IF(P763="", "", VLOOKUP(P763, DanhSachCodeId, 3, FALSE))</f>
      </c>
    </row>
    <row r="764">
      <c r="A764" s="0">
        <f>IF(B764="", "", VLOOKUP(B764, DanhSachCodeId, 3, FALSE))</f>
      </c>
      <c r="C764" s="0">
        <f>IF(B764="", "", VLOOKUP(B764, DanhSachNhanVien, 2, FALSE))</f>
      </c>
      <c r="Q764" s="0">
        <f>IF(P764="", "", VLOOKUP(P764, DanhSachNhanVien, 2, FALSE))</f>
      </c>
      <c r="Z764" s="0">
        <f>IF(D764="", "", VLOOKUP(D764, DanhSachLoaiQuyetDinhRange, 2, FALSE))</f>
      </c>
      <c r="AA764" s="0">
        <f>IF(I764="", "", VLOOKUP(I764, DanhSachPhongBanRange, 2, FALSE))</f>
      </c>
      <c r="AB764" s="0">
        <f>IF(J764="", "", VLOOKUP(J764, DanhSachChucDanhRange, 2, FALSE))</f>
      </c>
      <c r="AC764" s="0">
        <f>IF(L764="", "", VLOOKUP(L764, ThangLuongData, 2, FALSE))</f>
      </c>
      <c r="AD764" s="0">
        <f>IF(M764="", "", VLOOKUP(M764, NgachLuongData, 2, FALSE))</f>
      </c>
      <c r="AE764" s="0">
        <f>IF(N764="", "", VLOOKUP(N764, BacLuongData, 2, FALSE))</f>
      </c>
      <c r="AF764" s="0">
        <f>IF(P764="", "", VLOOKUP(P764, DanhSachCodeId, 3, FALSE))</f>
      </c>
    </row>
    <row r="765">
      <c r="A765" s="0">
        <f>IF(B765="", "", VLOOKUP(B765, DanhSachCodeId, 3, FALSE))</f>
      </c>
      <c r="C765" s="0">
        <f>IF(B765="", "", VLOOKUP(B765, DanhSachNhanVien, 2, FALSE))</f>
      </c>
      <c r="Q765" s="0">
        <f>IF(P765="", "", VLOOKUP(P765, DanhSachNhanVien, 2, FALSE))</f>
      </c>
      <c r="Z765" s="0">
        <f>IF(D765="", "", VLOOKUP(D765, DanhSachLoaiQuyetDinhRange, 2, FALSE))</f>
      </c>
      <c r="AA765" s="0">
        <f>IF(I765="", "", VLOOKUP(I765, DanhSachPhongBanRange, 2, FALSE))</f>
      </c>
      <c r="AB765" s="0">
        <f>IF(J765="", "", VLOOKUP(J765, DanhSachChucDanhRange, 2, FALSE))</f>
      </c>
      <c r="AC765" s="0">
        <f>IF(L765="", "", VLOOKUP(L765, ThangLuongData, 2, FALSE))</f>
      </c>
      <c r="AD765" s="0">
        <f>IF(M765="", "", VLOOKUP(M765, NgachLuongData, 2, FALSE))</f>
      </c>
      <c r="AE765" s="0">
        <f>IF(N765="", "", VLOOKUP(N765, BacLuongData, 2, FALSE))</f>
      </c>
      <c r="AF765" s="0">
        <f>IF(P765="", "", VLOOKUP(P765, DanhSachCodeId, 3, FALSE))</f>
      </c>
    </row>
    <row r="766">
      <c r="A766" s="0">
        <f>IF(B766="", "", VLOOKUP(B766, DanhSachCodeId, 3, FALSE))</f>
      </c>
      <c r="C766" s="0">
        <f>IF(B766="", "", VLOOKUP(B766, DanhSachNhanVien, 2, FALSE))</f>
      </c>
      <c r="Q766" s="0">
        <f>IF(P766="", "", VLOOKUP(P766, DanhSachNhanVien, 2, FALSE))</f>
      </c>
      <c r="Z766" s="0">
        <f>IF(D766="", "", VLOOKUP(D766, DanhSachLoaiQuyetDinhRange, 2, FALSE))</f>
      </c>
      <c r="AA766" s="0">
        <f>IF(I766="", "", VLOOKUP(I766, DanhSachPhongBanRange, 2, FALSE))</f>
      </c>
      <c r="AB766" s="0">
        <f>IF(J766="", "", VLOOKUP(J766, DanhSachChucDanhRange, 2, FALSE))</f>
      </c>
      <c r="AC766" s="0">
        <f>IF(L766="", "", VLOOKUP(L766, ThangLuongData, 2, FALSE))</f>
      </c>
      <c r="AD766" s="0">
        <f>IF(M766="", "", VLOOKUP(M766, NgachLuongData, 2, FALSE))</f>
      </c>
      <c r="AE766" s="0">
        <f>IF(N766="", "", VLOOKUP(N766, BacLuongData, 2, FALSE))</f>
      </c>
      <c r="AF766" s="0">
        <f>IF(P766="", "", VLOOKUP(P766, DanhSachCodeId, 3, FALSE))</f>
      </c>
    </row>
    <row r="767">
      <c r="A767" s="0">
        <f>IF(B767="", "", VLOOKUP(B767, DanhSachCodeId, 3, FALSE))</f>
      </c>
      <c r="C767" s="0">
        <f>IF(B767="", "", VLOOKUP(B767, DanhSachNhanVien, 2, FALSE))</f>
      </c>
      <c r="Q767" s="0">
        <f>IF(P767="", "", VLOOKUP(P767, DanhSachNhanVien, 2, FALSE))</f>
      </c>
      <c r="Z767" s="0">
        <f>IF(D767="", "", VLOOKUP(D767, DanhSachLoaiQuyetDinhRange, 2, FALSE))</f>
      </c>
      <c r="AA767" s="0">
        <f>IF(I767="", "", VLOOKUP(I767, DanhSachPhongBanRange, 2, FALSE))</f>
      </c>
      <c r="AB767" s="0">
        <f>IF(J767="", "", VLOOKUP(J767, DanhSachChucDanhRange, 2, FALSE))</f>
      </c>
      <c r="AC767" s="0">
        <f>IF(L767="", "", VLOOKUP(L767, ThangLuongData, 2, FALSE))</f>
      </c>
      <c r="AD767" s="0">
        <f>IF(M767="", "", VLOOKUP(M767, NgachLuongData, 2, FALSE))</f>
      </c>
      <c r="AE767" s="0">
        <f>IF(N767="", "", VLOOKUP(N767, BacLuongData, 2, FALSE))</f>
      </c>
      <c r="AF767" s="0">
        <f>IF(P767="", "", VLOOKUP(P767, DanhSachCodeId, 3, FALSE))</f>
      </c>
    </row>
    <row r="768">
      <c r="A768" s="0">
        <f>IF(B768="", "", VLOOKUP(B768, DanhSachCodeId, 3, FALSE))</f>
      </c>
      <c r="C768" s="0">
        <f>IF(B768="", "", VLOOKUP(B768, DanhSachNhanVien, 2, FALSE))</f>
      </c>
      <c r="Q768" s="0">
        <f>IF(P768="", "", VLOOKUP(P768, DanhSachNhanVien, 2, FALSE))</f>
      </c>
      <c r="Z768" s="0">
        <f>IF(D768="", "", VLOOKUP(D768, DanhSachLoaiQuyetDinhRange, 2, FALSE))</f>
      </c>
      <c r="AA768" s="0">
        <f>IF(I768="", "", VLOOKUP(I768, DanhSachPhongBanRange, 2, FALSE))</f>
      </c>
      <c r="AB768" s="0">
        <f>IF(J768="", "", VLOOKUP(J768, DanhSachChucDanhRange, 2, FALSE))</f>
      </c>
      <c r="AC768" s="0">
        <f>IF(L768="", "", VLOOKUP(L768, ThangLuongData, 2, FALSE))</f>
      </c>
      <c r="AD768" s="0">
        <f>IF(M768="", "", VLOOKUP(M768, NgachLuongData, 2, FALSE))</f>
      </c>
      <c r="AE768" s="0">
        <f>IF(N768="", "", VLOOKUP(N768, BacLuongData, 2, FALSE))</f>
      </c>
      <c r="AF768" s="0">
        <f>IF(P768="", "", VLOOKUP(P768, DanhSachCodeId, 3, FALSE))</f>
      </c>
    </row>
    <row r="769">
      <c r="A769" s="0">
        <f>IF(B769="", "", VLOOKUP(B769, DanhSachCodeId, 3, FALSE))</f>
      </c>
      <c r="C769" s="0">
        <f>IF(B769="", "", VLOOKUP(B769, DanhSachNhanVien, 2, FALSE))</f>
      </c>
      <c r="Q769" s="0">
        <f>IF(P769="", "", VLOOKUP(P769, DanhSachNhanVien, 2, FALSE))</f>
      </c>
      <c r="Z769" s="0">
        <f>IF(D769="", "", VLOOKUP(D769, DanhSachLoaiQuyetDinhRange, 2, FALSE))</f>
      </c>
      <c r="AA769" s="0">
        <f>IF(I769="", "", VLOOKUP(I769, DanhSachPhongBanRange, 2, FALSE))</f>
      </c>
      <c r="AB769" s="0">
        <f>IF(J769="", "", VLOOKUP(J769, DanhSachChucDanhRange, 2, FALSE))</f>
      </c>
      <c r="AC769" s="0">
        <f>IF(L769="", "", VLOOKUP(L769, ThangLuongData, 2, FALSE))</f>
      </c>
      <c r="AD769" s="0">
        <f>IF(M769="", "", VLOOKUP(M769, NgachLuongData, 2, FALSE))</f>
      </c>
      <c r="AE769" s="0">
        <f>IF(N769="", "", VLOOKUP(N769, BacLuongData, 2, FALSE))</f>
      </c>
      <c r="AF769" s="0">
        <f>IF(P769="", "", VLOOKUP(P769, DanhSachCodeId, 3, FALSE))</f>
      </c>
    </row>
    <row r="770">
      <c r="A770" s="0">
        <f>IF(B770="", "", VLOOKUP(B770, DanhSachCodeId, 3, FALSE))</f>
      </c>
      <c r="C770" s="0">
        <f>IF(B770="", "", VLOOKUP(B770, DanhSachNhanVien, 2, FALSE))</f>
      </c>
      <c r="Q770" s="0">
        <f>IF(P770="", "", VLOOKUP(P770, DanhSachNhanVien, 2, FALSE))</f>
      </c>
      <c r="Z770" s="0">
        <f>IF(D770="", "", VLOOKUP(D770, DanhSachLoaiQuyetDinhRange, 2, FALSE))</f>
      </c>
      <c r="AA770" s="0">
        <f>IF(I770="", "", VLOOKUP(I770, DanhSachPhongBanRange, 2, FALSE))</f>
      </c>
      <c r="AB770" s="0">
        <f>IF(J770="", "", VLOOKUP(J770, DanhSachChucDanhRange, 2, FALSE))</f>
      </c>
      <c r="AC770" s="0">
        <f>IF(L770="", "", VLOOKUP(L770, ThangLuongData, 2, FALSE))</f>
      </c>
      <c r="AD770" s="0">
        <f>IF(M770="", "", VLOOKUP(M770, NgachLuongData, 2, FALSE))</f>
      </c>
      <c r="AE770" s="0">
        <f>IF(N770="", "", VLOOKUP(N770, BacLuongData, 2, FALSE))</f>
      </c>
      <c r="AF770" s="0">
        <f>IF(P770="", "", VLOOKUP(P770, DanhSachCodeId, 3, FALSE))</f>
      </c>
    </row>
    <row r="771">
      <c r="A771" s="0">
        <f>IF(B771="", "", VLOOKUP(B771, DanhSachCodeId, 3, FALSE))</f>
      </c>
      <c r="C771" s="0">
        <f>IF(B771="", "", VLOOKUP(B771, DanhSachNhanVien, 2, FALSE))</f>
      </c>
      <c r="Q771" s="0">
        <f>IF(P771="", "", VLOOKUP(P771, DanhSachNhanVien, 2, FALSE))</f>
      </c>
      <c r="Z771" s="0">
        <f>IF(D771="", "", VLOOKUP(D771, DanhSachLoaiQuyetDinhRange, 2, FALSE))</f>
      </c>
      <c r="AA771" s="0">
        <f>IF(I771="", "", VLOOKUP(I771, DanhSachPhongBanRange, 2, FALSE))</f>
      </c>
      <c r="AB771" s="0">
        <f>IF(J771="", "", VLOOKUP(J771, DanhSachChucDanhRange, 2, FALSE))</f>
      </c>
      <c r="AC771" s="0">
        <f>IF(L771="", "", VLOOKUP(L771, ThangLuongData, 2, FALSE))</f>
      </c>
      <c r="AD771" s="0">
        <f>IF(M771="", "", VLOOKUP(M771, NgachLuongData, 2, FALSE))</f>
      </c>
      <c r="AE771" s="0">
        <f>IF(N771="", "", VLOOKUP(N771, BacLuongData, 2, FALSE))</f>
      </c>
      <c r="AF771" s="0">
        <f>IF(P771="", "", VLOOKUP(P771, DanhSachCodeId, 3, FALSE))</f>
      </c>
    </row>
    <row r="772">
      <c r="A772" s="0">
        <f>IF(B772="", "", VLOOKUP(B772, DanhSachCodeId, 3, FALSE))</f>
      </c>
      <c r="C772" s="0">
        <f>IF(B772="", "", VLOOKUP(B772, DanhSachNhanVien, 2, FALSE))</f>
      </c>
      <c r="Q772" s="0">
        <f>IF(P772="", "", VLOOKUP(P772, DanhSachNhanVien, 2, FALSE))</f>
      </c>
      <c r="Z772" s="0">
        <f>IF(D772="", "", VLOOKUP(D772, DanhSachLoaiQuyetDinhRange, 2, FALSE))</f>
      </c>
      <c r="AA772" s="0">
        <f>IF(I772="", "", VLOOKUP(I772, DanhSachPhongBanRange, 2, FALSE))</f>
      </c>
      <c r="AB772" s="0">
        <f>IF(J772="", "", VLOOKUP(J772, DanhSachChucDanhRange, 2, FALSE))</f>
      </c>
      <c r="AC772" s="0">
        <f>IF(L772="", "", VLOOKUP(L772, ThangLuongData, 2, FALSE))</f>
      </c>
      <c r="AD772" s="0">
        <f>IF(M772="", "", VLOOKUP(M772, NgachLuongData, 2, FALSE))</f>
      </c>
      <c r="AE772" s="0">
        <f>IF(N772="", "", VLOOKUP(N772, BacLuongData, 2, FALSE))</f>
      </c>
      <c r="AF772" s="0">
        <f>IF(P772="", "", VLOOKUP(P772, DanhSachCodeId, 3, FALSE))</f>
      </c>
    </row>
    <row r="773">
      <c r="A773" s="0">
        <f>IF(B773="", "", VLOOKUP(B773, DanhSachCodeId, 3, FALSE))</f>
      </c>
      <c r="C773" s="0">
        <f>IF(B773="", "", VLOOKUP(B773, DanhSachNhanVien, 2, FALSE))</f>
      </c>
      <c r="Q773" s="0">
        <f>IF(P773="", "", VLOOKUP(P773, DanhSachNhanVien, 2, FALSE))</f>
      </c>
      <c r="Z773" s="0">
        <f>IF(D773="", "", VLOOKUP(D773, DanhSachLoaiQuyetDinhRange, 2, FALSE))</f>
      </c>
      <c r="AA773" s="0">
        <f>IF(I773="", "", VLOOKUP(I773, DanhSachPhongBanRange, 2, FALSE))</f>
      </c>
      <c r="AB773" s="0">
        <f>IF(J773="", "", VLOOKUP(J773, DanhSachChucDanhRange, 2, FALSE))</f>
      </c>
      <c r="AC773" s="0">
        <f>IF(L773="", "", VLOOKUP(L773, ThangLuongData, 2, FALSE))</f>
      </c>
      <c r="AD773" s="0">
        <f>IF(M773="", "", VLOOKUP(M773, NgachLuongData, 2, FALSE))</f>
      </c>
      <c r="AE773" s="0">
        <f>IF(N773="", "", VLOOKUP(N773, BacLuongData, 2, FALSE))</f>
      </c>
      <c r="AF773" s="0">
        <f>IF(P773="", "", VLOOKUP(P773, DanhSachCodeId, 3, FALSE))</f>
      </c>
    </row>
    <row r="774">
      <c r="A774" s="0">
        <f>IF(B774="", "", VLOOKUP(B774, DanhSachCodeId, 3, FALSE))</f>
      </c>
      <c r="C774" s="0">
        <f>IF(B774="", "", VLOOKUP(B774, DanhSachNhanVien, 2, FALSE))</f>
      </c>
      <c r="Q774" s="0">
        <f>IF(P774="", "", VLOOKUP(P774, DanhSachNhanVien, 2, FALSE))</f>
      </c>
      <c r="Z774" s="0">
        <f>IF(D774="", "", VLOOKUP(D774, DanhSachLoaiQuyetDinhRange, 2, FALSE))</f>
      </c>
      <c r="AA774" s="0">
        <f>IF(I774="", "", VLOOKUP(I774, DanhSachPhongBanRange, 2, FALSE))</f>
      </c>
      <c r="AB774" s="0">
        <f>IF(J774="", "", VLOOKUP(J774, DanhSachChucDanhRange, 2, FALSE))</f>
      </c>
      <c r="AC774" s="0">
        <f>IF(L774="", "", VLOOKUP(L774, ThangLuongData, 2, FALSE))</f>
      </c>
      <c r="AD774" s="0">
        <f>IF(M774="", "", VLOOKUP(M774, NgachLuongData, 2, FALSE))</f>
      </c>
      <c r="AE774" s="0">
        <f>IF(N774="", "", VLOOKUP(N774, BacLuongData, 2, FALSE))</f>
      </c>
      <c r="AF774" s="0">
        <f>IF(P774="", "", VLOOKUP(P774, DanhSachCodeId, 3, FALSE))</f>
      </c>
    </row>
    <row r="775">
      <c r="A775" s="0">
        <f>IF(B775="", "", VLOOKUP(B775, DanhSachCodeId, 3, FALSE))</f>
      </c>
      <c r="C775" s="0">
        <f>IF(B775="", "", VLOOKUP(B775, DanhSachNhanVien, 2, FALSE))</f>
      </c>
      <c r="Q775" s="0">
        <f>IF(P775="", "", VLOOKUP(P775, DanhSachNhanVien, 2, FALSE))</f>
      </c>
      <c r="Z775" s="0">
        <f>IF(D775="", "", VLOOKUP(D775, DanhSachLoaiQuyetDinhRange, 2, FALSE))</f>
      </c>
      <c r="AA775" s="0">
        <f>IF(I775="", "", VLOOKUP(I775, DanhSachPhongBanRange, 2, FALSE))</f>
      </c>
      <c r="AB775" s="0">
        <f>IF(J775="", "", VLOOKUP(J775, DanhSachChucDanhRange, 2, FALSE))</f>
      </c>
      <c r="AC775" s="0">
        <f>IF(L775="", "", VLOOKUP(L775, ThangLuongData, 2, FALSE))</f>
      </c>
      <c r="AD775" s="0">
        <f>IF(M775="", "", VLOOKUP(M775, NgachLuongData, 2, FALSE))</f>
      </c>
      <c r="AE775" s="0">
        <f>IF(N775="", "", VLOOKUP(N775, BacLuongData, 2, FALSE))</f>
      </c>
      <c r="AF775" s="0">
        <f>IF(P775="", "", VLOOKUP(P775, DanhSachCodeId, 3, FALSE))</f>
      </c>
    </row>
    <row r="776">
      <c r="A776" s="0">
        <f>IF(B776="", "", VLOOKUP(B776, DanhSachCodeId, 3, FALSE))</f>
      </c>
      <c r="C776" s="0">
        <f>IF(B776="", "", VLOOKUP(B776, DanhSachNhanVien, 2, FALSE))</f>
      </c>
      <c r="Q776" s="0">
        <f>IF(P776="", "", VLOOKUP(P776, DanhSachNhanVien, 2, FALSE))</f>
      </c>
      <c r="Z776" s="0">
        <f>IF(D776="", "", VLOOKUP(D776, DanhSachLoaiQuyetDinhRange, 2, FALSE))</f>
      </c>
      <c r="AA776" s="0">
        <f>IF(I776="", "", VLOOKUP(I776, DanhSachPhongBanRange, 2, FALSE))</f>
      </c>
      <c r="AB776" s="0">
        <f>IF(J776="", "", VLOOKUP(J776, DanhSachChucDanhRange, 2, FALSE))</f>
      </c>
      <c r="AC776" s="0">
        <f>IF(L776="", "", VLOOKUP(L776, ThangLuongData, 2, FALSE))</f>
      </c>
      <c r="AD776" s="0">
        <f>IF(M776="", "", VLOOKUP(M776, NgachLuongData, 2, FALSE))</f>
      </c>
      <c r="AE776" s="0">
        <f>IF(N776="", "", VLOOKUP(N776, BacLuongData, 2, FALSE))</f>
      </c>
      <c r="AF776" s="0">
        <f>IF(P776="", "", VLOOKUP(P776, DanhSachCodeId, 3, FALSE))</f>
      </c>
    </row>
    <row r="777">
      <c r="A777" s="0">
        <f>IF(B777="", "", VLOOKUP(B777, DanhSachCodeId, 3, FALSE))</f>
      </c>
      <c r="C777" s="0">
        <f>IF(B777="", "", VLOOKUP(B777, DanhSachNhanVien, 2, FALSE))</f>
      </c>
      <c r="Q777" s="0">
        <f>IF(P777="", "", VLOOKUP(P777, DanhSachNhanVien, 2, FALSE))</f>
      </c>
      <c r="Z777" s="0">
        <f>IF(D777="", "", VLOOKUP(D777, DanhSachLoaiQuyetDinhRange, 2, FALSE))</f>
      </c>
      <c r="AA777" s="0">
        <f>IF(I777="", "", VLOOKUP(I777, DanhSachPhongBanRange, 2, FALSE))</f>
      </c>
      <c r="AB777" s="0">
        <f>IF(J777="", "", VLOOKUP(J777, DanhSachChucDanhRange, 2, FALSE))</f>
      </c>
      <c r="AC777" s="0">
        <f>IF(L777="", "", VLOOKUP(L777, ThangLuongData, 2, FALSE))</f>
      </c>
      <c r="AD777" s="0">
        <f>IF(M777="", "", VLOOKUP(M777, NgachLuongData, 2, FALSE))</f>
      </c>
      <c r="AE777" s="0">
        <f>IF(N777="", "", VLOOKUP(N777, BacLuongData, 2, FALSE))</f>
      </c>
      <c r="AF777" s="0">
        <f>IF(P777="", "", VLOOKUP(P777, DanhSachCodeId, 3, FALSE))</f>
      </c>
    </row>
    <row r="778">
      <c r="A778" s="0">
        <f>IF(B778="", "", VLOOKUP(B778, DanhSachCodeId, 3, FALSE))</f>
      </c>
      <c r="C778" s="0">
        <f>IF(B778="", "", VLOOKUP(B778, DanhSachNhanVien, 2, FALSE))</f>
      </c>
      <c r="Q778" s="0">
        <f>IF(P778="", "", VLOOKUP(P778, DanhSachNhanVien, 2, FALSE))</f>
      </c>
      <c r="Z778" s="0">
        <f>IF(D778="", "", VLOOKUP(D778, DanhSachLoaiQuyetDinhRange, 2, FALSE))</f>
      </c>
      <c r="AA778" s="0">
        <f>IF(I778="", "", VLOOKUP(I778, DanhSachPhongBanRange, 2, FALSE))</f>
      </c>
      <c r="AB778" s="0">
        <f>IF(J778="", "", VLOOKUP(J778, DanhSachChucDanhRange, 2, FALSE))</f>
      </c>
      <c r="AC778" s="0">
        <f>IF(L778="", "", VLOOKUP(L778, ThangLuongData, 2, FALSE))</f>
      </c>
      <c r="AD778" s="0">
        <f>IF(M778="", "", VLOOKUP(M778, NgachLuongData, 2, FALSE))</f>
      </c>
      <c r="AE778" s="0">
        <f>IF(N778="", "", VLOOKUP(N778, BacLuongData, 2, FALSE))</f>
      </c>
      <c r="AF778" s="0">
        <f>IF(P778="", "", VLOOKUP(P778, DanhSachCodeId, 3, FALSE))</f>
      </c>
    </row>
    <row r="779">
      <c r="A779" s="0">
        <f>IF(B779="", "", VLOOKUP(B779, DanhSachCodeId, 3, FALSE))</f>
      </c>
      <c r="C779" s="0">
        <f>IF(B779="", "", VLOOKUP(B779, DanhSachNhanVien, 2, FALSE))</f>
      </c>
      <c r="Q779" s="0">
        <f>IF(P779="", "", VLOOKUP(P779, DanhSachNhanVien, 2, FALSE))</f>
      </c>
      <c r="Z779" s="0">
        <f>IF(D779="", "", VLOOKUP(D779, DanhSachLoaiQuyetDinhRange, 2, FALSE))</f>
      </c>
      <c r="AA779" s="0">
        <f>IF(I779="", "", VLOOKUP(I779, DanhSachPhongBanRange, 2, FALSE))</f>
      </c>
      <c r="AB779" s="0">
        <f>IF(J779="", "", VLOOKUP(J779, DanhSachChucDanhRange, 2, FALSE))</f>
      </c>
      <c r="AC779" s="0">
        <f>IF(L779="", "", VLOOKUP(L779, ThangLuongData, 2, FALSE))</f>
      </c>
      <c r="AD779" s="0">
        <f>IF(M779="", "", VLOOKUP(M779, NgachLuongData, 2, FALSE))</f>
      </c>
      <c r="AE779" s="0">
        <f>IF(N779="", "", VLOOKUP(N779, BacLuongData, 2, FALSE))</f>
      </c>
      <c r="AF779" s="0">
        <f>IF(P779="", "", VLOOKUP(P779, DanhSachCodeId, 3, FALSE))</f>
      </c>
    </row>
    <row r="780">
      <c r="A780" s="0">
        <f>IF(B780="", "", VLOOKUP(B780, DanhSachCodeId, 3, FALSE))</f>
      </c>
      <c r="C780" s="0">
        <f>IF(B780="", "", VLOOKUP(B780, DanhSachNhanVien, 2, FALSE))</f>
      </c>
      <c r="Q780" s="0">
        <f>IF(P780="", "", VLOOKUP(P780, DanhSachNhanVien, 2, FALSE))</f>
      </c>
      <c r="Z780" s="0">
        <f>IF(D780="", "", VLOOKUP(D780, DanhSachLoaiQuyetDinhRange, 2, FALSE))</f>
      </c>
      <c r="AA780" s="0">
        <f>IF(I780="", "", VLOOKUP(I780, DanhSachPhongBanRange, 2, FALSE))</f>
      </c>
      <c r="AB780" s="0">
        <f>IF(J780="", "", VLOOKUP(J780, DanhSachChucDanhRange, 2, FALSE))</f>
      </c>
      <c r="AC780" s="0">
        <f>IF(L780="", "", VLOOKUP(L780, ThangLuongData, 2, FALSE))</f>
      </c>
      <c r="AD780" s="0">
        <f>IF(M780="", "", VLOOKUP(M780, NgachLuongData, 2, FALSE))</f>
      </c>
      <c r="AE780" s="0">
        <f>IF(N780="", "", VLOOKUP(N780, BacLuongData, 2, FALSE))</f>
      </c>
      <c r="AF780" s="0">
        <f>IF(P780="", "", VLOOKUP(P780, DanhSachCodeId, 3, FALSE))</f>
      </c>
    </row>
    <row r="781">
      <c r="A781" s="0">
        <f>IF(B781="", "", VLOOKUP(B781, DanhSachCodeId, 3, FALSE))</f>
      </c>
      <c r="C781" s="0">
        <f>IF(B781="", "", VLOOKUP(B781, DanhSachNhanVien, 2, FALSE))</f>
      </c>
      <c r="Q781" s="0">
        <f>IF(P781="", "", VLOOKUP(P781, DanhSachNhanVien, 2, FALSE))</f>
      </c>
      <c r="Z781" s="0">
        <f>IF(D781="", "", VLOOKUP(D781, DanhSachLoaiQuyetDinhRange, 2, FALSE))</f>
      </c>
      <c r="AA781" s="0">
        <f>IF(I781="", "", VLOOKUP(I781, DanhSachPhongBanRange, 2, FALSE))</f>
      </c>
      <c r="AB781" s="0">
        <f>IF(J781="", "", VLOOKUP(J781, DanhSachChucDanhRange, 2, FALSE))</f>
      </c>
      <c r="AC781" s="0">
        <f>IF(L781="", "", VLOOKUP(L781, ThangLuongData, 2, FALSE))</f>
      </c>
      <c r="AD781" s="0">
        <f>IF(M781="", "", VLOOKUP(M781, NgachLuongData, 2, FALSE))</f>
      </c>
      <c r="AE781" s="0">
        <f>IF(N781="", "", VLOOKUP(N781, BacLuongData, 2, FALSE))</f>
      </c>
      <c r="AF781" s="0">
        <f>IF(P781="", "", VLOOKUP(P781, DanhSachCodeId, 3, FALSE))</f>
      </c>
    </row>
    <row r="782">
      <c r="A782" s="0">
        <f>IF(B782="", "", VLOOKUP(B782, DanhSachCodeId, 3, FALSE))</f>
      </c>
      <c r="C782" s="0">
        <f>IF(B782="", "", VLOOKUP(B782, DanhSachNhanVien, 2, FALSE))</f>
      </c>
      <c r="Q782" s="0">
        <f>IF(P782="", "", VLOOKUP(P782, DanhSachNhanVien, 2, FALSE))</f>
      </c>
      <c r="Z782" s="0">
        <f>IF(D782="", "", VLOOKUP(D782, DanhSachLoaiQuyetDinhRange, 2, FALSE))</f>
      </c>
      <c r="AA782" s="0">
        <f>IF(I782="", "", VLOOKUP(I782, DanhSachPhongBanRange, 2, FALSE))</f>
      </c>
      <c r="AB782" s="0">
        <f>IF(J782="", "", VLOOKUP(J782, DanhSachChucDanhRange, 2, FALSE))</f>
      </c>
      <c r="AC782" s="0">
        <f>IF(L782="", "", VLOOKUP(L782, ThangLuongData, 2, FALSE))</f>
      </c>
      <c r="AD782" s="0">
        <f>IF(M782="", "", VLOOKUP(M782, NgachLuongData, 2, FALSE))</f>
      </c>
      <c r="AE782" s="0">
        <f>IF(N782="", "", VLOOKUP(N782, BacLuongData, 2, FALSE))</f>
      </c>
      <c r="AF782" s="0">
        <f>IF(P782="", "", VLOOKUP(P782, DanhSachCodeId, 3, FALSE))</f>
      </c>
    </row>
    <row r="783">
      <c r="A783" s="0">
        <f>IF(B783="", "", VLOOKUP(B783, DanhSachCodeId, 3, FALSE))</f>
      </c>
      <c r="C783" s="0">
        <f>IF(B783="", "", VLOOKUP(B783, DanhSachNhanVien, 2, FALSE))</f>
      </c>
      <c r="Q783" s="0">
        <f>IF(P783="", "", VLOOKUP(P783, DanhSachNhanVien, 2, FALSE))</f>
      </c>
      <c r="Z783" s="0">
        <f>IF(D783="", "", VLOOKUP(D783, DanhSachLoaiQuyetDinhRange, 2, FALSE))</f>
      </c>
      <c r="AA783" s="0">
        <f>IF(I783="", "", VLOOKUP(I783, DanhSachPhongBanRange, 2, FALSE))</f>
      </c>
      <c r="AB783" s="0">
        <f>IF(J783="", "", VLOOKUP(J783, DanhSachChucDanhRange, 2, FALSE))</f>
      </c>
      <c r="AC783" s="0">
        <f>IF(L783="", "", VLOOKUP(L783, ThangLuongData, 2, FALSE))</f>
      </c>
      <c r="AD783" s="0">
        <f>IF(M783="", "", VLOOKUP(M783, NgachLuongData, 2, FALSE))</f>
      </c>
      <c r="AE783" s="0">
        <f>IF(N783="", "", VLOOKUP(N783, BacLuongData, 2, FALSE))</f>
      </c>
      <c r="AF783" s="0">
        <f>IF(P783="", "", VLOOKUP(P783, DanhSachCodeId, 3, FALSE))</f>
      </c>
    </row>
    <row r="784">
      <c r="A784" s="0">
        <f>IF(B784="", "", VLOOKUP(B784, DanhSachCodeId, 3, FALSE))</f>
      </c>
      <c r="C784" s="0">
        <f>IF(B784="", "", VLOOKUP(B784, DanhSachNhanVien, 2, FALSE))</f>
      </c>
      <c r="Q784" s="0">
        <f>IF(P784="", "", VLOOKUP(P784, DanhSachNhanVien, 2, FALSE))</f>
      </c>
      <c r="Z784" s="0">
        <f>IF(D784="", "", VLOOKUP(D784, DanhSachLoaiQuyetDinhRange, 2, FALSE))</f>
      </c>
      <c r="AA784" s="0">
        <f>IF(I784="", "", VLOOKUP(I784, DanhSachPhongBanRange, 2, FALSE))</f>
      </c>
      <c r="AB784" s="0">
        <f>IF(J784="", "", VLOOKUP(J784, DanhSachChucDanhRange, 2, FALSE))</f>
      </c>
      <c r="AC784" s="0">
        <f>IF(L784="", "", VLOOKUP(L784, ThangLuongData, 2, FALSE))</f>
      </c>
      <c r="AD784" s="0">
        <f>IF(M784="", "", VLOOKUP(M784, NgachLuongData, 2, FALSE))</f>
      </c>
      <c r="AE784" s="0">
        <f>IF(N784="", "", VLOOKUP(N784, BacLuongData, 2, FALSE))</f>
      </c>
      <c r="AF784" s="0">
        <f>IF(P784="", "", VLOOKUP(P784, DanhSachCodeId, 3, FALSE))</f>
      </c>
    </row>
    <row r="785">
      <c r="A785" s="0">
        <f>IF(B785="", "", VLOOKUP(B785, DanhSachCodeId, 3, FALSE))</f>
      </c>
      <c r="C785" s="0">
        <f>IF(B785="", "", VLOOKUP(B785, DanhSachNhanVien, 2, FALSE))</f>
      </c>
      <c r="Q785" s="0">
        <f>IF(P785="", "", VLOOKUP(P785, DanhSachNhanVien, 2, FALSE))</f>
      </c>
      <c r="Z785" s="0">
        <f>IF(D785="", "", VLOOKUP(D785, DanhSachLoaiQuyetDinhRange, 2, FALSE))</f>
      </c>
      <c r="AA785" s="0">
        <f>IF(I785="", "", VLOOKUP(I785, DanhSachPhongBanRange, 2, FALSE))</f>
      </c>
      <c r="AB785" s="0">
        <f>IF(J785="", "", VLOOKUP(J785, DanhSachChucDanhRange, 2, FALSE))</f>
      </c>
      <c r="AC785" s="0">
        <f>IF(L785="", "", VLOOKUP(L785, ThangLuongData, 2, FALSE))</f>
      </c>
      <c r="AD785" s="0">
        <f>IF(M785="", "", VLOOKUP(M785, NgachLuongData, 2, FALSE))</f>
      </c>
      <c r="AE785" s="0">
        <f>IF(N785="", "", VLOOKUP(N785, BacLuongData, 2, FALSE))</f>
      </c>
      <c r="AF785" s="0">
        <f>IF(P785="", "", VLOOKUP(P785, DanhSachCodeId, 3, FALSE))</f>
      </c>
    </row>
    <row r="786">
      <c r="A786" s="0">
        <f>IF(B786="", "", VLOOKUP(B786, DanhSachCodeId, 3, FALSE))</f>
      </c>
      <c r="C786" s="0">
        <f>IF(B786="", "", VLOOKUP(B786, DanhSachNhanVien, 2, FALSE))</f>
      </c>
      <c r="Q786" s="0">
        <f>IF(P786="", "", VLOOKUP(P786, DanhSachNhanVien, 2, FALSE))</f>
      </c>
      <c r="Z786" s="0">
        <f>IF(D786="", "", VLOOKUP(D786, DanhSachLoaiQuyetDinhRange, 2, FALSE))</f>
      </c>
      <c r="AA786" s="0">
        <f>IF(I786="", "", VLOOKUP(I786, DanhSachPhongBanRange, 2, FALSE))</f>
      </c>
      <c r="AB786" s="0">
        <f>IF(J786="", "", VLOOKUP(J786, DanhSachChucDanhRange, 2, FALSE))</f>
      </c>
      <c r="AC786" s="0">
        <f>IF(L786="", "", VLOOKUP(L786, ThangLuongData, 2, FALSE))</f>
      </c>
      <c r="AD786" s="0">
        <f>IF(M786="", "", VLOOKUP(M786, NgachLuongData, 2, FALSE))</f>
      </c>
      <c r="AE786" s="0">
        <f>IF(N786="", "", VLOOKUP(N786, BacLuongData, 2, FALSE))</f>
      </c>
      <c r="AF786" s="0">
        <f>IF(P786="", "", VLOOKUP(P786, DanhSachCodeId, 3, FALSE))</f>
      </c>
    </row>
    <row r="787">
      <c r="A787" s="0">
        <f>IF(B787="", "", VLOOKUP(B787, DanhSachCodeId, 3, FALSE))</f>
      </c>
      <c r="C787" s="0">
        <f>IF(B787="", "", VLOOKUP(B787, DanhSachNhanVien, 2, FALSE))</f>
      </c>
      <c r="Q787" s="0">
        <f>IF(P787="", "", VLOOKUP(P787, DanhSachNhanVien, 2, FALSE))</f>
      </c>
      <c r="Z787" s="0">
        <f>IF(D787="", "", VLOOKUP(D787, DanhSachLoaiQuyetDinhRange, 2, FALSE))</f>
      </c>
      <c r="AA787" s="0">
        <f>IF(I787="", "", VLOOKUP(I787, DanhSachPhongBanRange, 2, FALSE))</f>
      </c>
      <c r="AB787" s="0">
        <f>IF(J787="", "", VLOOKUP(J787, DanhSachChucDanhRange, 2, FALSE))</f>
      </c>
      <c r="AC787" s="0">
        <f>IF(L787="", "", VLOOKUP(L787, ThangLuongData, 2, FALSE))</f>
      </c>
      <c r="AD787" s="0">
        <f>IF(M787="", "", VLOOKUP(M787, NgachLuongData, 2, FALSE))</f>
      </c>
      <c r="AE787" s="0">
        <f>IF(N787="", "", VLOOKUP(N787, BacLuongData, 2, FALSE))</f>
      </c>
      <c r="AF787" s="0">
        <f>IF(P787="", "", VLOOKUP(P787, DanhSachCodeId, 3, FALSE))</f>
      </c>
    </row>
    <row r="788">
      <c r="A788" s="0">
        <f>IF(B788="", "", VLOOKUP(B788, DanhSachCodeId, 3, FALSE))</f>
      </c>
      <c r="C788" s="0">
        <f>IF(B788="", "", VLOOKUP(B788, DanhSachNhanVien, 2, FALSE))</f>
      </c>
      <c r="Q788" s="0">
        <f>IF(P788="", "", VLOOKUP(P788, DanhSachNhanVien, 2, FALSE))</f>
      </c>
      <c r="Z788" s="0">
        <f>IF(D788="", "", VLOOKUP(D788, DanhSachLoaiQuyetDinhRange, 2, FALSE))</f>
      </c>
      <c r="AA788" s="0">
        <f>IF(I788="", "", VLOOKUP(I788, DanhSachPhongBanRange, 2, FALSE))</f>
      </c>
      <c r="AB788" s="0">
        <f>IF(J788="", "", VLOOKUP(J788, DanhSachChucDanhRange, 2, FALSE))</f>
      </c>
      <c r="AC788" s="0">
        <f>IF(L788="", "", VLOOKUP(L788, ThangLuongData, 2, FALSE))</f>
      </c>
      <c r="AD788" s="0">
        <f>IF(M788="", "", VLOOKUP(M788, NgachLuongData, 2, FALSE))</f>
      </c>
      <c r="AE788" s="0">
        <f>IF(N788="", "", VLOOKUP(N788, BacLuongData, 2, FALSE))</f>
      </c>
      <c r="AF788" s="0">
        <f>IF(P788="", "", VLOOKUP(P788, DanhSachCodeId, 3, FALSE))</f>
      </c>
    </row>
    <row r="789">
      <c r="A789" s="0">
        <f>IF(B789="", "", VLOOKUP(B789, DanhSachCodeId, 3, FALSE))</f>
      </c>
      <c r="C789" s="0">
        <f>IF(B789="", "", VLOOKUP(B789, DanhSachNhanVien, 2, FALSE))</f>
      </c>
      <c r="Q789" s="0">
        <f>IF(P789="", "", VLOOKUP(P789, DanhSachNhanVien, 2, FALSE))</f>
      </c>
      <c r="Z789" s="0">
        <f>IF(D789="", "", VLOOKUP(D789, DanhSachLoaiQuyetDinhRange, 2, FALSE))</f>
      </c>
      <c r="AA789" s="0">
        <f>IF(I789="", "", VLOOKUP(I789, DanhSachPhongBanRange, 2, FALSE))</f>
      </c>
      <c r="AB789" s="0">
        <f>IF(J789="", "", VLOOKUP(J789, DanhSachChucDanhRange, 2, FALSE))</f>
      </c>
      <c r="AC789" s="0">
        <f>IF(L789="", "", VLOOKUP(L789, ThangLuongData, 2, FALSE))</f>
      </c>
      <c r="AD789" s="0">
        <f>IF(M789="", "", VLOOKUP(M789, NgachLuongData, 2, FALSE))</f>
      </c>
      <c r="AE789" s="0">
        <f>IF(N789="", "", VLOOKUP(N789, BacLuongData, 2, FALSE))</f>
      </c>
      <c r="AF789" s="0">
        <f>IF(P789="", "", VLOOKUP(P789, DanhSachCodeId, 3, FALSE))</f>
      </c>
    </row>
    <row r="790">
      <c r="A790" s="0">
        <f>IF(B790="", "", VLOOKUP(B790, DanhSachCodeId, 3, FALSE))</f>
      </c>
      <c r="C790" s="0">
        <f>IF(B790="", "", VLOOKUP(B790, DanhSachNhanVien, 2, FALSE))</f>
      </c>
      <c r="Q790" s="0">
        <f>IF(P790="", "", VLOOKUP(P790, DanhSachNhanVien, 2, FALSE))</f>
      </c>
      <c r="Z790" s="0">
        <f>IF(D790="", "", VLOOKUP(D790, DanhSachLoaiQuyetDinhRange, 2, FALSE))</f>
      </c>
      <c r="AA790" s="0">
        <f>IF(I790="", "", VLOOKUP(I790, DanhSachPhongBanRange, 2, FALSE))</f>
      </c>
      <c r="AB790" s="0">
        <f>IF(J790="", "", VLOOKUP(J790, DanhSachChucDanhRange, 2, FALSE))</f>
      </c>
      <c r="AC790" s="0">
        <f>IF(L790="", "", VLOOKUP(L790, ThangLuongData, 2, FALSE))</f>
      </c>
      <c r="AD790" s="0">
        <f>IF(M790="", "", VLOOKUP(M790, NgachLuongData, 2, FALSE))</f>
      </c>
      <c r="AE790" s="0">
        <f>IF(N790="", "", VLOOKUP(N790, BacLuongData, 2, FALSE))</f>
      </c>
      <c r="AF790" s="0">
        <f>IF(P790="", "", VLOOKUP(P790, DanhSachCodeId, 3, FALSE))</f>
      </c>
    </row>
    <row r="791">
      <c r="A791" s="0">
        <f>IF(B791="", "", VLOOKUP(B791, DanhSachCodeId, 3, FALSE))</f>
      </c>
      <c r="C791" s="0">
        <f>IF(B791="", "", VLOOKUP(B791, DanhSachNhanVien, 2, FALSE))</f>
      </c>
      <c r="Q791" s="0">
        <f>IF(P791="", "", VLOOKUP(P791, DanhSachNhanVien, 2, FALSE))</f>
      </c>
      <c r="Z791" s="0">
        <f>IF(D791="", "", VLOOKUP(D791, DanhSachLoaiQuyetDinhRange, 2, FALSE))</f>
      </c>
      <c r="AA791" s="0">
        <f>IF(I791="", "", VLOOKUP(I791, DanhSachPhongBanRange, 2, FALSE))</f>
      </c>
      <c r="AB791" s="0">
        <f>IF(J791="", "", VLOOKUP(J791, DanhSachChucDanhRange, 2, FALSE))</f>
      </c>
      <c r="AC791" s="0">
        <f>IF(L791="", "", VLOOKUP(L791, ThangLuongData, 2, FALSE))</f>
      </c>
      <c r="AD791" s="0">
        <f>IF(M791="", "", VLOOKUP(M791, NgachLuongData, 2, FALSE))</f>
      </c>
      <c r="AE791" s="0">
        <f>IF(N791="", "", VLOOKUP(N791, BacLuongData, 2, FALSE))</f>
      </c>
      <c r="AF791" s="0">
        <f>IF(P791="", "", VLOOKUP(P791, DanhSachCodeId, 3, FALSE))</f>
      </c>
    </row>
    <row r="792">
      <c r="A792" s="0">
        <f>IF(B792="", "", VLOOKUP(B792, DanhSachCodeId, 3, FALSE))</f>
      </c>
      <c r="C792" s="0">
        <f>IF(B792="", "", VLOOKUP(B792, DanhSachNhanVien, 2, FALSE))</f>
      </c>
      <c r="Q792" s="0">
        <f>IF(P792="", "", VLOOKUP(P792, DanhSachNhanVien, 2, FALSE))</f>
      </c>
      <c r="Z792" s="0">
        <f>IF(D792="", "", VLOOKUP(D792, DanhSachLoaiQuyetDinhRange, 2, FALSE))</f>
      </c>
      <c r="AA792" s="0">
        <f>IF(I792="", "", VLOOKUP(I792, DanhSachPhongBanRange, 2, FALSE))</f>
      </c>
      <c r="AB792" s="0">
        <f>IF(J792="", "", VLOOKUP(J792, DanhSachChucDanhRange, 2, FALSE))</f>
      </c>
      <c r="AC792" s="0">
        <f>IF(L792="", "", VLOOKUP(L792, ThangLuongData, 2, FALSE))</f>
      </c>
      <c r="AD792" s="0">
        <f>IF(M792="", "", VLOOKUP(M792, NgachLuongData, 2, FALSE))</f>
      </c>
      <c r="AE792" s="0">
        <f>IF(N792="", "", VLOOKUP(N792, BacLuongData, 2, FALSE))</f>
      </c>
      <c r="AF792" s="0">
        <f>IF(P792="", "", VLOOKUP(P792, DanhSachCodeId, 3, FALSE))</f>
      </c>
    </row>
    <row r="793">
      <c r="A793" s="0">
        <f>IF(B793="", "", VLOOKUP(B793, DanhSachCodeId, 3, FALSE))</f>
      </c>
      <c r="C793" s="0">
        <f>IF(B793="", "", VLOOKUP(B793, DanhSachNhanVien, 2, FALSE))</f>
      </c>
      <c r="Q793" s="0">
        <f>IF(P793="", "", VLOOKUP(P793, DanhSachNhanVien, 2, FALSE))</f>
      </c>
      <c r="Z793" s="0">
        <f>IF(D793="", "", VLOOKUP(D793, DanhSachLoaiQuyetDinhRange, 2, FALSE))</f>
      </c>
      <c r="AA793" s="0">
        <f>IF(I793="", "", VLOOKUP(I793, DanhSachPhongBanRange, 2, FALSE))</f>
      </c>
      <c r="AB793" s="0">
        <f>IF(J793="", "", VLOOKUP(J793, DanhSachChucDanhRange, 2, FALSE))</f>
      </c>
      <c r="AC793" s="0">
        <f>IF(L793="", "", VLOOKUP(L793, ThangLuongData, 2, FALSE))</f>
      </c>
      <c r="AD793" s="0">
        <f>IF(M793="", "", VLOOKUP(M793, NgachLuongData, 2, FALSE))</f>
      </c>
      <c r="AE793" s="0">
        <f>IF(N793="", "", VLOOKUP(N793, BacLuongData, 2, FALSE))</f>
      </c>
      <c r="AF793" s="0">
        <f>IF(P793="", "", VLOOKUP(P793, DanhSachCodeId, 3, FALSE))</f>
      </c>
    </row>
    <row r="794">
      <c r="A794" s="0">
        <f>IF(B794="", "", VLOOKUP(B794, DanhSachCodeId, 3, FALSE))</f>
      </c>
      <c r="C794" s="0">
        <f>IF(B794="", "", VLOOKUP(B794, DanhSachNhanVien, 2, FALSE))</f>
      </c>
      <c r="Q794" s="0">
        <f>IF(P794="", "", VLOOKUP(P794, DanhSachNhanVien, 2, FALSE))</f>
      </c>
      <c r="Z794" s="0">
        <f>IF(D794="", "", VLOOKUP(D794, DanhSachLoaiQuyetDinhRange, 2, FALSE))</f>
      </c>
      <c r="AA794" s="0">
        <f>IF(I794="", "", VLOOKUP(I794, DanhSachPhongBanRange, 2, FALSE))</f>
      </c>
      <c r="AB794" s="0">
        <f>IF(J794="", "", VLOOKUP(J794, DanhSachChucDanhRange, 2, FALSE))</f>
      </c>
      <c r="AC794" s="0">
        <f>IF(L794="", "", VLOOKUP(L794, ThangLuongData, 2, FALSE))</f>
      </c>
      <c r="AD794" s="0">
        <f>IF(M794="", "", VLOOKUP(M794, NgachLuongData, 2, FALSE))</f>
      </c>
      <c r="AE794" s="0">
        <f>IF(N794="", "", VLOOKUP(N794, BacLuongData, 2, FALSE))</f>
      </c>
      <c r="AF794" s="0">
        <f>IF(P794="", "", VLOOKUP(P794, DanhSachCodeId, 3, FALSE))</f>
      </c>
    </row>
    <row r="795">
      <c r="A795" s="0">
        <f>IF(B795="", "", VLOOKUP(B795, DanhSachCodeId, 3, FALSE))</f>
      </c>
      <c r="C795" s="0">
        <f>IF(B795="", "", VLOOKUP(B795, DanhSachNhanVien, 2, FALSE))</f>
      </c>
      <c r="Q795" s="0">
        <f>IF(P795="", "", VLOOKUP(P795, DanhSachNhanVien, 2, FALSE))</f>
      </c>
      <c r="Z795" s="0">
        <f>IF(D795="", "", VLOOKUP(D795, DanhSachLoaiQuyetDinhRange, 2, FALSE))</f>
      </c>
      <c r="AA795" s="0">
        <f>IF(I795="", "", VLOOKUP(I795, DanhSachPhongBanRange, 2, FALSE))</f>
      </c>
      <c r="AB795" s="0">
        <f>IF(J795="", "", VLOOKUP(J795, DanhSachChucDanhRange, 2, FALSE))</f>
      </c>
      <c r="AC795" s="0">
        <f>IF(L795="", "", VLOOKUP(L795, ThangLuongData, 2, FALSE))</f>
      </c>
      <c r="AD795" s="0">
        <f>IF(M795="", "", VLOOKUP(M795, NgachLuongData, 2, FALSE))</f>
      </c>
      <c r="AE795" s="0">
        <f>IF(N795="", "", VLOOKUP(N795, BacLuongData, 2, FALSE))</f>
      </c>
      <c r="AF795" s="0">
        <f>IF(P795="", "", VLOOKUP(P795, DanhSachCodeId, 3, FALSE))</f>
      </c>
    </row>
    <row r="796">
      <c r="A796" s="0">
        <f>IF(B796="", "", VLOOKUP(B796, DanhSachCodeId, 3, FALSE))</f>
      </c>
      <c r="C796" s="0">
        <f>IF(B796="", "", VLOOKUP(B796, DanhSachNhanVien, 2, FALSE))</f>
      </c>
      <c r="Q796" s="0">
        <f>IF(P796="", "", VLOOKUP(P796, DanhSachNhanVien, 2, FALSE))</f>
      </c>
      <c r="Z796" s="0">
        <f>IF(D796="", "", VLOOKUP(D796, DanhSachLoaiQuyetDinhRange, 2, FALSE))</f>
      </c>
      <c r="AA796" s="0">
        <f>IF(I796="", "", VLOOKUP(I796, DanhSachPhongBanRange, 2, FALSE))</f>
      </c>
      <c r="AB796" s="0">
        <f>IF(J796="", "", VLOOKUP(J796, DanhSachChucDanhRange, 2, FALSE))</f>
      </c>
      <c r="AC796" s="0">
        <f>IF(L796="", "", VLOOKUP(L796, ThangLuongData, 2, FALSE))</f>
      </c>
      <c r="AD796" s="0">
        <f>IF(M796="", "", VLOOKUP(M796, NgachLuongData, 2, FALSE))</f>
      </c>
      <c r="AE796" s="0">
        <f>IF(N796="", "", VLOOKUP(N796, BacLuongData, 2, FALSE))</f>
      </c>
      <c r="AF796" s="0">
        <f>IF(P796="", "", VLOOKUP(P796, DanhSachCodeId, 3, FALSE))</f>
      </c>
    </row>
    <row r="797">
      <c r="A797" s="0">
        <f>IF(B797="", "", VLOOKUP(B797, DanhSachCodeId, 3, FALSE))</f>
      </c>
      <c r="C797" s="0">
        <f>IF(B797="", "", VLOOKUP(B797, DanhSachNhanVien, 2, FALSE))</f>
      </c>
      <c r="Q797" s="0">
        <f>IF(P797="", "", VLOOKUP(P797, DanhSachNhanVien, 2, FALSE))</f>
      </c>
      <c r="Z797" s="0">
        <f>IF(D797="", "", VLOOKUP(D797, DanhSachLoaiQuyetDinhRange, 2, FALSE))</f>
      </c>
      <c r="AA797" s="0">
        <f>IF(I797="", "", VLOOKUP(I797, DanhSachPhongBanRange, 2, FALSE))</f>
      </c>
      <c r="AB797" s="0">
        <f>IF(J797="", "", VLOOKUP(J797, DanhSachChucDanhRange, 2, FALSE))</f>
      </c>
      <c r="AC797" s="0">
        <f>IF(L797="", "", VLOOKUP(L797, ThangLuongData, 2, FALSE))</f>
      </c>
      <c r="AD797" s="0">
        <f>IF(M797="", "", VLOOKUP(M797, NgachLuongData, 2, FALSE))</f>
      </c>
      <c r="AE797" s="0">
        <f>IF(N797="", "", VLOOKUP(N797, BacLuongData, 2, FALSE))</f>
      </c>
      <c r="AF797" s="0">
        <f>IF(P797="", "", VLOOKUP(P797, DanhSachCodeId, 3, FALSE))</f>
      </c>
    </row>
    <row r="798">
      <c r="A798" s="0">
        <f>IF(B798="", "", VLOOKUP(B798, DanhSachCodeId, 3, FALSE))</f>
      </c>
      <c r="C798" s="0">
        <f>IF(B798="", "", VLOOKUP(B798, DanhSachNhanVien, 2, FALSE))</f>
      </c>
      <c r="Q798" s="0">
        <f>IF(P798="", "", VLOOKUP(P798, DanhSachNhanVien, 2, FALSE))</f>
      </c>
      <c r="Z798" s="0">
        <f>IF(D798="", "", VLOOKUP(D798, DanhSachLoaiQuyetDinhRange, 2, FALSE))</f>
      </c>
      <c r="AA798" s="0">
        <f>IF(I798="", "", VLOOKUP(I798, DanhSachPhongBanRange, 2, FALSE))</f>
      </c>
      <c r="AB798" s="0">
        <f>IF(J798="", "", VLOOKUP(J798, DanhSachChucDanhRange, 2, FALSE))</f>
      </c>
      <c r="AC798" s="0">
        <f>IF(L798="", "", VLOOKUP(L798, ThangLuongData, 2, FALSE))</f>
      </c>
      <c r="AD798" s="0">
        <f>IF(M798="", "", VLOOKUP(M798, NgachLuongData, 2, FALSE))</f>
      </c>
      <c r="AE798" s="0">
        <f>IF(N798="", "", VLOOKUP(N798, BacLuongData, 2, FALSE))</f>
      </c>
      <c r="AF798" s="0">
        <f>IF(P798="", "", VLOOKUP(P798, DanhSachCodeId, 3, FALSE))</f>
      </c>
    </row>
    <row r="799">
      <c r="A799" s="0">
        <f>IF(B799="", "", VLOOKUP(B799, DanhSachCodeId, 3, FALSE))</f>
      </c>
      <c r="C799" s="0">
        <f>IF(B799="", "", VLOOKUP(B799, DanhSachNhanVien, 2, FALSE))</f>
      </c>
      <c r="Q799" s="0">
        <f>IF(P799="", "", VLOOKUP(P799, DanhSachNhanVien, 2, FALSE))</f>
      </c>
      <c r="Z799" s="0">
        <f>IF(D799="", "", VLOOKUP(D799, DanhSachLoaiQuyetDinhRange, 2, FALSE))</f>
      </c>
      <c r="AA799" s="0">
        <f>IF(I799="", "", VLOOKUP(I799, DanhSachPhongBanRange, 2, FALSE))</f>
      </c>
      <c r="AB799" s="0">
        <f>IF(J799="", "", VLOOKUP(J799, DanhSachChucDanhRange, 2, FALSE))</f>
      </c>
      <c r="AC799" s="0">
        <f>IF(L799="", "", VLOOKUP(L799, ThangLuongData, 2, FALSE))</f>
      </c>
      <c r="AD799" s="0">
        <f>IF(M799="", "", VLOOKUP(M799, NgachLuongData, 2, FALSE))</f>
      </c>
      <c r="AE799" s="0">
        <f>IF(N799="", "", VLOOKUP(N799, BacLuongData, 2, FALSE))</f>
      </c>
      <c r="AF799" s="0">
        <f>IF(P799="", "", VLOOKUP(P799, DanhSachCodeId, 3, FALSE))</f>
      </c>
    </row>
    <row r="800">
      <c r="A800" s="0">
        <f>IF(B800="", "", VLOOKUP(B800, DanhSachCodeId, 3, FALSE))</f>
      </c>
      <c r="C800" s="0">
        <f>IF(B800="", "", VLOOKUP(B800, DanhSachNhanVien, 2, FALSE))</f>
      </c>
      <c r="Q800" s="0">
        <f>IF(P800="", "", VLOOKUP(P800, DanhSachNhanVien, 2, FALSE))</f>
      </c>
      <c r="Z800" s="0">
        <f>IF(D800="", "", VLOOKUP(D800, DanhSachLoaiQuyetDinhRange, 2, FALSE))</f>
      </c>
      <c r="AA800" s="0">
        <f>IF(I800="", "", VLOOKUP(I800, DanhSachPhongBanRange, 2, FALSE))</f>
      </c>
      <c r="AB800" s="0">
        <f>IF(J800="", "", VLOOKUP(J800, DanhSachChucDanhRange, 2, FALSE))</f>
      </c>
      <c r="AC800" s="0">
        <f>IF(L800="", "", VLOOKUP(L800, ThangLuongData, 2, FALSE))</f>
      </c>
      <c r="AD800" s="0">
        <f>IF(M800="", "", VLOOKUP(M800, NgachLuongData, 2, FALSE))</f>
      </c>
      <c r="AE800" s="0">
        <f>IF(N800="", "", VLOOKUP(N800, BacLuongData, 2, FALSE))</f>
      </c>
      <c r="AF800" s="0">
        <f>IF(P800="", "", VLOOKUP(P800, DanhSachCodeId, 3, FALSE))</f>
      </c>
    </row>
    <row r="801">
      <c r="A801" s="0">
        <f>IF(B801="", "", VLOOKUP(B801, DanhSachCodeId, 3, FALSE))</f>
      </c>
      <c r="C801" s="0">
        <f>IF(B801="", "", VLOOKUP(B801, DanhSachNhanVien, 2, FALSE))</f>
      </c>
      <c r="Q801" s="0">
        <f>IF(P801="", "", VLOOKUP(P801, DanhSachNhanVien, 2, FALSE))</f>
      </c>
      <c r="Z801" s="0">
        <f>IF(D801="", "", VLOOKUP(D801, DanhSachLoaiQuyetDinhRange, 2, FALSE))</f>
      </c>
      <c r="AA801" s="0">
        <f>IF(I801="", "", VLOOKUP(I801, DanhSachPhongBanRange, 2, FALSE))</f>
      </c>
      <c r="AB801" s="0">
        <f>IF(J801="", "", VLOOKUP(J801, DanhSachChucDanhRange, 2, FALSE))</f>
      </c>
      <c r="AC801" s="0">
        <f>IF(L801="", "", VLOOKUP(L801, ThangLuongData, 2, FALSE))</f>
      </c>
      <c r="AD801" s="0">
        <f>IF(M801="", "", VLOOKUP(M801, NgachLuongData, 2, FALSE))</f>
      </c>
      <c r="AE801" s="0">
        <f>IF(N801="", "", VLOOKUP(N801, BacLuongData, 2, FALSE))</f>
      </c>
      <c r="AF801" s="0">
        <f>IF(P801="", "", VLOOKUP(P801, DanhSachCodeId, 3, FALSE))</f>
      </c>
    </row>
    <row r="802">
      <c r="A802" s="0">
        <f>IF(B802="", "", VLOOKUP(B802, DanhSachCodeId, 3, FALSE))</f>
      </c>
      <c r="C802" s="0">
        <f>IF(B802="", "", VLOOKUP(B802, DanhSachNhanVien, 2, FALSE))</f>
      </c>
      <c r="Q802" s="0">
        <f>IF(P802="", "", VLOOKUP(P802, DanhSachNhanVien, 2, FALSE))</f>
      </c>
      <c r="Z802" s="0">
        <f>IF(D802="", "", VLOOKUP(D802, DanhSachLoaiQuyetDinhRange, 2, FALSE))</f>
      </c>
      <c r="AA802" s="0">
        <f>IF(I802="", "", VLOOKUP(I802, DanhSachPhongBanRange, 2, FALSE))</f>
      </c>
      <c r="AB802" s="0">
        <f>IF(J802="", "", VLOOKUP(J802, DanhSachChucDanhRange, 2, FALSE))</f>
      </c>
      <c r="AC802" s="0">
        <f>IF(L802="", "", VLOOKUP(L802, ThangLuongData, 2, FALSE))</f>
      </c>
      <c r="AD802" s="0">
        <f>IF(M802="", "", VLOOKUP(M802, NgachLuongData, 2, FALSE))</f>
      </c>
      <c r="AE802" s="0">
        <f>IF(N802="", "", VLOOKUP(N802, BacLuongData, 2, FALSE))</f>
      </c>
      <c r="AF802" s="0">
        <f>IF(P802="", "", VLOOKUP(P802, DanhSachCodeId, 3, FALSE))</f>
      </c>
    </row>
    <row r="803">
      <c r="A803" s="0">
        <f>IF(B803="", "", VLOOKUP(B803, DanhSachCodeId, 3, FALSE))</f>
      </c>
      <c r="C803" s="0">
        <f>IF(B803="", "", VLOOKUP(B803, DanhSachNhanVien, 2, FALSE))</f>
      </c>
      <c r="Q803" s="0">
        <f>IF(P803="", "", VLOOKUP(P803, DanhSachNhanVien, 2, FALSE))</f>
      </c>
      <c r="Z803" s="0">
        <f>IF(D803="", "", VLOOKUP(D803, DanhSachLoaiQuyetDinhRange, 2, FALSE))</f>
      </c>
      <c r="AA803" s="0">
        <f>IF(I803="", "", VLOOKUP(I803, DanhSachPhongBanRange, 2, FALSE))</f>
      </c>
      <c r="AB803" s="0">
        <f>IF(J803="", "", VLOOKUP(J803, DanhSachChucDanhRange, 2, FALSE))</f>
      </c>
      <c r="AC803" s="0">
        <f>IF(L803="", "", VLOOKUP(L803, ThangLuongData, 2, FALSE))</f>
      </c>
      <c r="AD803" s="0">
        <f>IF(M803="", "", VLOOKUP(M803, NgachLuongData, 2, FALSE))</f>
      </c>
      <c r="AE803" s="0">
        <f>IF(N803="", "", VLOOKUP(N803, BacLuongData, 2, FALSE))</f>
      </c>
      <c r="AF803" s="0">
        <f>IF(P803="", "", VLOOKUP(P803, DanhSachCodeId, 3, FALSE))</f>
      </c>
    </row>
    <row r="804">
      <c r="A804" s="0">
        <f>IF(B804="", "", VLOOKUP(B804, DanhSachCodeId, 3, FALSE))</f>
      </c>
      <c r="C804" s="0">
        <f>IF(B804="", "", VLOOKUP(B804, DanhSachNhanVien, 2, FALSE))</f>
      </c>
      <c r="Q804" s="0">
        <f>IF(P804="", "", VLOOKUP(P804, DanhSachNhanVien, 2, FALSE))</f>
      </c>
      <c r="Z804" s="0">
        <f>IF(D804="", "", VLOOKUP(D804, DanhSachLoaiQuyetDinhRange, 2, FALSE))</f>
      </c>
      <c r="AA804" s="0">
        <f>IF(I804="", "", VLOOKUP(I804, DanhSachPhongBanRange, 2, FALSE))</f>
      </c>
      <c r="AB804" s="0">
        <f>IF(J804="", "", VLOOKUP(J804, DanhSachChucDanhRange, 2, FALSE))</f>
      </c>
      <c r="AC804" s="0">
        <f>IF(L804="", "", VLOOKUP(L804, ThangLuongData, 2, FALSE))</f>
      </c>
      <c r="AD804" s="0">
        <f>IF(M804="", "", VLOOKUP(M804, NgachLuongData, 2, FALSE))</f>
      </c>
      <c r="AE804" s="0">
        <f>IF(N804="", "", VLOOKUP(N804, BacLuongData, 2, FALSE))</f>
      </c>
      <c r="AF804" s="0">
        <f>IF(P804="", "", VLOOKUP(P804, DanhSachCodeId, 3, FALSE))</f>
      </c>
    </row>
    <row r="805">
      <c r="A805" s="0">
        <f>IF(B805="", "", VLOOKUP(B805, DanhSachCodeId, 3, FALSE))</f>
      </c>
      <c r="C805" s="0">
        <f>IF(B805="", "", VLOOKUP(B805, DanhSachNhanVien, 2, FALSE))</f>
      </c>
      <c r="Q805" s="0">
        <f>IF(P805="", "", VLOOKUP(P805, DanhSachNhanVien, 2, FALSE))</f>
      </c>
      <c r="Z805" s="0">
        <f>IF(D805="", "", VLOOKUP(D805, DanhSachLoaiQuyetDinhRange, 2, FALSE))</f>
      </c>
      <c r="AA805" s="0">
        <f>IF(I805="", "", VLOOKUP(I805, DanhSachPhongBanRange, 2, FALSE))</f>
      </c>
      <c r="AB805" s="0">
        <f>IF(J805="", "", VLOOKUP(J805, DanhSachChucDanhRange, 2, FALSE))</f>
      </c>
      <c r="AC805" s="0">
        <f>IF(L805="", "", VLOOKUP(L805, ThangLuongData, 2, FALSE))</f>
      </c>
      <c r="AD805" s="0">
        <f>IF(M805="", "", VLOOKUP(M805, NgachLuongData, 2, FALSE))</f>
      </c>
      <c r="AE805" s="0">
        <f>IF(N805="", "", VLOOKUP(N805, BacLuongData, 2, FALSE))</f>
      </c>
      <c r="AF805" s="0">
        <f>IF(P805="", "", VLOOKUP(P805, DanhSachCodeId, 3, FALSE))</f>
      </c>
    </row>
    <row r="806">
      <c r="A806" s="0">
        <f>IF(B806="", "", VLOOKUP(B806, DanhSachCodeId, 3, FALSE))</f>
      </c>
      <c r="C806" s="0">
        <f>IF(B806="", "", VLOOKUP(B806, DanhSachNhanVien, 2, FALSE))</f>
      </c>
      <c r="Q806" s="0">
        <f>IF(P806="", "", VLOOKUP(P806, DanhSachNhanVien, 2, FALSE))</f>
      </c>
      <c r="Z806" s="0">
        <f>IF(D806="", "", VLOOKUP(D806, DanhSachLoaiQuyetDinhRange, 2, FALSE))</f>
      </c>
      <c r="AA806" s="0">
        <f>IF(I806="", "", VLOOKUP(I806, DanhSachPhongBanRange, 2, FALSE))</f>
      </c>
      <c r="AB806" s="0">
        <f>IF(J806="", "", VLOOKUP(J806, DanhSachChucDanhRange, 2, FALSE))</f>
      </c>
      <c r="AC806" s="0">
        <f>IF(L806="", "", VLOOKUP(L806, ThangLuongData, 2, FALSE))</f>
      </c>
      <c r="AD806" s="0">
        <f>IF(M806="", "", VLOOKUP(M806, NgachLuongData, 2, FALSE))</f>
      </c>
      <c r="AE806" s="0">
        <f>IF(N806="", "", VLOOKUP(N806, BacLuongData, 2, FALSE))</f>
      </c>
      <c r="AF806" s="0">
        <f>IF(P806="", "", VLOOKUP(P806, DanhSachCodeId, 3, FALSE))</f>
      </c>
    </row>
    <row r="807">
      <c r="A807" s="0">
        <f>IF(B807="", "", VLOOKUP(B807, DanhSachCodeId, 3, FALSE))</f>
      </c>
      <c r="C807" s="0">
        <f>IF(B807="", "", VLOOKUP(B807, DanhSachNhanVien, 2, FALSE))</f>
      </c>
      <c r="Q807" s="0">
        <f>IF(P807="", "", VLOOKUP(P807, DanhSachNhanVien, 2, FALSE))</f>
      </c>
      <c r="Z807" s="0">
        <f>IF(D807="", "", VLOOKUP(D807, DanhSachLoaiQuyetDinhRange, 2, FALSE))</f>
      </c>
      <c r="AA807" s="0">
        <f>IF(I807="", "", VLOOKUP(I807, DanhSachPhongBanRange, 2, FALSE))</f>
      </c>
      <c r="AB807" s="0">
        <f>IF(J807="", "", VLOOKUP(J807, DanhSachChucDanhRange, 2, FALSE))</f>
      </c>
      <c r="AC807" s="0">
        <f>IF(L807="", "", VLOOKUP(L807, ThangLuongData, 2, FALSE))</f>
      </c>
      <c r="AD807" s="0">
        <f>IF(M807="", "", VLOOKUP(M807, NgachLuongData, 2, FALSE))</f>
      </c>
      <c r="AE807" s="0">
        <f>IF(N807="", "", VLOOKUP(N807, BacLuongData, 2, FALSE))</f>
      </c>
      <c r="AF807" s="0">
        <f>IF(P807="", "", VLOOKUP(P807, DanhSachCodeId, 3, FALSE))</f>
      </c>
    </row>
    <row r="808">
      <c r="A808" s="0">
        <f>IF(B808="", "", VLOOKUP(B808, DanhSachCodeId, 3, FALSE))</f>
      </c>
      <c r="C808" s="0">
        <f>IF(B808="", "", VLOOKUP(B808, DanhSachNhanVien, 2, FALSE))</f>
      </c>
      <c r="Q808" s="0">
        <f>IF(P808="", "", VLOOKUP(P808, DanhSachNhanVien, 2, FALSE))</f>
      </c>
      <c r="Z808" s="0">
        <f>IF(D808="", "", VLOOKUP(D808, DanhSachLoaiQuyetDinhRange, 2, FALSE))</f>
      </c>
      <c r="AA808" s="0">
        <f>IF(I808="", "", VLOOKUP(I808, DanhSachPhongBanRange, 2, FALSE))</f>
      </c>
      <c r="AB808" s="0">
        <f>IF(J808="", "", VLOOKUP(J808, DanhSachChucDanhRange, 2, FALSE))</f>
      </c>
      <c r="AC808" s="0">
        <f>IF(L808="", "", VLOOKUP(L808, ThangLuongData, 2, FALSE))</f>
      </c>
      <c r="AD808" s="0">
        <f>IF(M808="", "", VLOOKUP(M808, NgachLuongData, 2, FALSE))</f>
      </c>
      <c r="AE808" s="0">
        <f>IF(N808="", "", VLOOKUP(N808, BacLuongData, 2, FALSE))</f>
      </c>
      <c r="AF808" s="0">
        <f>IF(P808="", "", VLOOKUP(P808, DanhSachCodeId, 3, FALSE))</f>
      </c>
    </row>
    <row r="809">
      <c r="A809" s="0">
        <f>IF(B809="", "", VLOOKUP(B809, DanhSachCodeId, 3, FALSE))</f>
      </c>
      <c r="C809" s="0">
        <f>IF(B809="", "", VLOOKUP(B809, DanhSachNhanVien, 2, FALSE))</f>
      </c>
      <c r="Q809" s="0">
        <f>IF(P809="", "", VLOOKUP(P809, DanhSachNhanVien, 2, FALSE))</f>
      </c>
      <c r="Z809" s="0">
        <f>IF(D809="", "", VLOOKUP(D809, DanhSachLoaiQuyetDinhRange, 2, FALSE))</f>
      </c>
      <c r="AA809" s="0">
        <f>IF(I809="", "", VLOOKUP(I809, DanhSachPhongBanRange, 2, FALSE))</f>
      </c>
      <c r="AB809" s="0">
        <f>IF(J809="", "", VLOOKUP(J809, DanhSachChucDanhRange, 2, FALSE))</f>
      </c>
      <c r="AC809" s="0">
        <f>IF(L809="", "", VLOOKUP(L809, ThangLuongData, 2, FALSE))</f>
      </c>
      <c r="AD809" s="0">
        <f>IF(M809="", "", VLOOKUP(M809, NgachLuongData, 2, FALSE))</f>
      </c>
      <c r="AE809" s="0">
        <f>IF(N809="", "", VLOOKUP(N809, BacLuongData, 2, FALSE))</f>
      </c>
      <c r="AF809" s="0">
        <f>IF(P809="", "", VLOOKUP(P809, DanhSachCodeId, 3, FALSE))</f>
      </c>
    </row>
    <row r="810">
      <c r="A810" s="0">
        <f>IF(B810="", "", VLOOKUP(B810, DanhSachCodeId, 3, FALSE))</f>
      </c>
      <c r="C810" s="0">
        <f>IF(B810="", "", VLOOKUP(B810, DanhSachNhanVien, 2, FALSE))</f>
      </c>
      <c r="Q810" s="0">
        <f>IF(P810="", "", VLOOKUP(P810, DanhSachNhanVien, 2, FALSE))</f>
      </c>
      <c r="Z810" s="0">
        <f>IF(D810="", "", VLOOKUP(D810, DanhSachLoaiQuyetDinhRange, 2, FALSE))</f>
      </c>
      <c r="AA810" s="0">
        <f>IF(I810="", "", VLOOKUP(I810, DanhSachPhongBanRange, 2, FALSE))</f>
      </c>
      <c r="AB810" s="0">
        <f>IF(J810="", "", VLOOKUP(J810, DanhSachChucDanhRange, 2, FALSE))</f>
      </c>
      <c r="AC810" s="0">
        <f>IF(L810="", "", VLOOKUP(L810, ThangLuongData, 2, FALSE))</f>
      </c>
      <c r="AD810" s="0">
        <f>IF(M810="", "", VLOOKUP(M810, NgachLuongData, 2, FALSE))</f>
      </c>
      <c r="AE810" s="0">
        <f>IF(N810="", "", VLOOKUP(N810, BacLuongData, 2, FALSE))</f>
      </c>
      <c r="AF810" s="0">
        <f>IF(P810="", "", VLOOKUP(P810, DanhSachCodeId, 3, FALSE))</f>
      </c>
    </row>
    <row r="811">
      <c r="A811" s="0">
        <f>IF(B811="", "", VLOOKUP(B811, DanhSachCodeId, 3, FALSE))</f>
      </c>
      <c r="C811" s="0">
        <f>IF(B811="", "", VLOOKUP(B811, DanhSachNhanVien, 2, FALSE))</f>
      </c>
      <c r="Q811" s="0">
        <f>IF(P811="", "", VLOOKUP(P811, DanhSachNhanVien, 2, FALSE))</f>
      </c>
      <c r="Z811" s="0">
        <f>IF(D811="", "", VLOOKUP(D811, DanhSachLoaiQuyetDinhRange, 2, FALSE))</f>
      </c>
      <c r="AA811" s="0">
        <f>IF(I811="", "", VLOOKUP(I811, DanhSachPhongBanRange, 2, FALSE))</f>
      </c>
      <c r="AB811" s="0">
        <f>IF(J811="", "", VLOOKUP(J811, DanhSachChucDanhRange, 2, FALSE))</f>
      </c>
      <c r="AC811" s="0">
        <f>IF(L811="", "", VLOOKUP(L811, ThangLuongData, 2, FALSE))</f>
      </c>
      <c r="AD811" s="0">
        <f>IF(M811="", "", VLOOKUP(M811, NgachLuongData, 2, FALSE))</f>
      </c>
      <c r="AE811" s="0">
        <f>IF(N811="", "", VLOOKUP(N811, BacLuongData, 2, FALSE))</f>
      </c>
      <c r="AF811" s="0">
        <f>IF(P811="", "", VLOOKUP(P811, DanhSachCodeId, 3, FALSE))</f>
      </c>
    </row>
    <row r="812">
      <c r="A812" s="0">
        <f>IF(B812="", "", VLOOKUP(B812, DanhSachCodeId, 3, FALSE))</f>
      </c>
      <c r="C812" s="0">
        <f>IF(B812="", "", VLOOKUP(B812, DanhSachNhanVien, 2, FALSE))</f>
      </c>
      <c r="Q812" s="0">
        <f>IF(P812="", "", VLOOKUP(P812, DanhSachNhanVien, 2, FALSE))</f>
      </c>
      <c r="Z812" s="0">
        <f>IF(D812="", "", VLOOKUP(D812, DanhSachLoaiQuyetDinhRange, 2, FALSE))</f>
      </c>
      <c r="AA812" s="0">
        <f>IF(I812="", "", VLOOKUP(I812, DanhSachPhongBanRange, 2, FALSE))</f>
      </c>
      <c r="AB812" s="0">
        <f>IF(J812="", "", VLOOKUP(J812, DanhSachChucDanhRange, 2, FALSE))</f>
      </c>
      <c r="AC812" s="0">
        <f>IF(L812="", "", VLOOKUP(L812, ThangLuongData, 2, FALSE))</f>
      </c>
      <c r="AD812" s="0">
        <f>IF(M812="", "", VLOOKUP(M812, NgachLuongData, 2, FALSE))</f>
      </c>
      <c r="AE812" s="0">
        <f>IF(N812="", "", VLOOKUP(N812, BacLuongData, 2, FALSE))</f>
      </c>
      <c r="AF812" s="0">
        <f>IF(P812="", "", VLOOKUP(P812, DanhSachCodeId, 3, FALSE))</f>
      </c>
    </row>
    <row r="813">
      <c r="A813" s="0">
        <f>IF(B813="", "", VLOOKUP(B813, DanhSachCodeId, 3, FALSE))</f>
      </c>
      <c r="C813" s="0">
        <f>IF(B813="", "", VLOOKUP(B813, DanhSachNhanVien, 2, FALSE))</f>
      </c>
      <c r="Q813" s="0">
        <f>IF(P813="", "", VLOOKUP(P813, DanhSachNhanVien, 2, FALSE))</f>
      </c>
      <c r="Z813" s="0">
        <f>IF(D813="", "", VLOOKUP(D813, DanhSachLoaiQuyetDinhRange, 2, FALSE))</f>
      </c>
      <c r="AA813" s="0">
        <f>IF(I813="", "", VLOOKUP(I813, DanhSachPhongBanRange, 2, FALSE))</f>
      </c>
      <c r="AB813" s="0">
        <f>IF(J813="", "", VLOOKUP(J813, DanhSachChucDanhRange, 2, FALSE))</f>
      </c>
      <c r="AC813" s="0">
        <f>IF(L813="", "", VLOOKUP(L813, ThangLuongData, 2, FALSE))</f>
      </c>
      <c r="AD813" s="0">
        <f>IF(M813="", "", VLOOKUP(M813, NgachLuongData, 2, FALSE))</f>
      </c>
      <c r="AE813" s="0">
        <f>IF(N813="", "", VLOOKUP(N813, BacLuongData, 2, FALSE))</f>
      </c>
      <c r="AF813" s="0">
        <f>IF(P813="", "", VLOOKUP(P813, DanhSachCodeId, 3, FALSE))</f>
      </c>
    </row>
    <row r="814">
      <c r="A814" s="0">
        <f>IF(B814="", "", VLOOKUP(B814, DanhSachCodeId, 3, FALSE))</f>
      </c>
      <c r="C814" s="0">
        <f>IF(B814="", "", VLOOKUP(B814, DanhSachNhanVien, 2, FALSE))</f>
      </c>
      <c r="Q814" s="0">
        <f>IF(P814="", "", VLOOKUP(P814, DanhSachNhanVien, 2, FALSE))</f>
      </c>
      <c r="Z814" s="0">
        <f>IF(D814="", "", VLOOKUP(D814, DanhSachLoaiQuyetDinhRange, 2, FALSE))</f>
      </c>
      <c r="AA814" s="0">
        <f>IF(I814="", "", VLOOKUP(I814, DanhSachPhongBanRange, 2, FALSE))</f>
      </c>
      <c r="AB814" s="0">
        <f>IF(J814="", "", VLOOKUP(J814, DanhSachChucDanhRange, 2, FALSE))</f>
      </c>
      <c r="AC814" s="0">
        <f>IF(L814="", "", VLOOKUP(L814, ThangLuongData, 2, FALSE))</f>
      </c>
      <c r="AD814" s="0">
        <f>IF(M814="", "", VLOOKUP(M814, NgachLuongData, 2, FALSE))</f>
      </c>
      <c r="AE814" s="0">
        <f>IF(N814="", "", VLOOKUP(N814, BacLuongData, 2, FALSE))</f>
      </c>
      <c r="AF814" s="0">
        <f>IF(P814="", "", VLOOKUP(P814, DanhSachCodeId, 3, FALSE))</f>
      </c>
    </row>
    <row r="815">
      <c r="A815" s="0">
        <f>IF(B815="", "", VLOOKUP(B815, DanhSachCodeId, 3, FALSE))</f>
      </c>
      <c r="C815" s="0">
        <f>IF(B815="", "", VLOOKUP(B815, DanhSachNhanVien, 2, FALSE))</f>
      </c>
      <c r="Q815" s="0">
        <f>IF(P815="", "", VLOOKUP(P815, DanhSachNhanVien, 2, FALSE))</f>
      </c>
      <c r="Z815" s="0">
        <f>IF(D815="", "", VLOOKUP(D815, DanhSachLoaiQuyetDinhRange, 2, FALSE))</f>
      </c>
      <c r="AA815" s="0">
        <f>IF(I815="", "", VLOOKUP(I815, DanhSachPhongBanRange, 2, FALSE))</f>
      </c>
      <c r="AB815" s="0">
        <f>IF(J815="", "", VLOOKUP(J815, DanhSachChucDanhRange, 2, FALSE))</f>
      </c>
      <c r="AC815" s="0">
        <f>IF(L815="", "", VLOOKUP(L815, ThangLuongData, 2, FALSE))</f>
      </c>
      <c r="AD815" s="0">
        <f>IF(M815="", "", VLOOKUP(M815, NgachLuongData, 2, FALSE))</f>
      </c>
      <c r="AE815" s="0">
        <f>IF(N815="", "", VLOOKUP(N815, BacLuongData, 2, FALSE))</f>
      </c>
      <c r="AF815" s="0">
        <f>IF(P815="", "", VLOOKUP(P815, DanhSachCodeId, 3, FALSE))</f>
      </c>
    </row>
    <row r="816">
      <c r="A816" s="0">
        <f>IF(B816="", "", VLOOKUP(B816, DanhSachCodeId, 3, FALSE))</f>
      </c>
      <c r="C816" s="0">
        <f>IF(B816="", "", VLOOKUP(B816, DanhSachNhanVien, 2, FALSE))</f>
      </c>
      <c r="Q816" s="0">
        <f>IF(P816="", "", VLOOKUP(P816, DanhSachNhanVien, 2, FALSE))</f>
      </c>
      <c r="Z816" s="0">
        <f>IF(D816="", "", VLOOKUP(D816, DanhSachLoaiQuyetDinhRange, 2, FALSE))</f>
      </c>
      <c r="AA816" s="0">
        <f>IF(I816="", "", VLOOKUP(I816, DanhSachPhongBanRange, 2, FALSE))</f>
      </c>
      <c r="AB816" s="0">
        <f>IF(J816="", "", VLOOKUP(J816, DanhSachChucDanhRange, 2, FALSE))</f>
      </c>
      <c r="AC816" s="0">
        <f>IF(L816="", "", VLOOKUP(L816, ThangLuongData, 2, FALSE))</f>
      </c>
      <c r="AD816" s="0">
        <f>IF(M816="", "", VLOOKUP(M816, NgachLuongData, 2, FALSE))</f>
      </c>
      <c r="AE816" s="0">
        <f>IF(N816="", "", VLOOKUP(N816, BacLuongData, 2, FALSE))</f>
      </c>
      <c r="AF816" s="0">
        <f>IF(P816="", "", VLOOKUP(P816, DanhSachCodeId, 3, FALSE))</f>
      </c>
    </row>
    <row r="817">
      <c r="A817" s="0">
        <f>IF(B817="", "", VLOOKUP(B817, DanhSachCodeId, 3, FALSE))</f>
      </c>
      <c r="C817" s="0">
        <f>IF(B817="", "", VLOOKUP(B817, DanhSachNhanVien, 2, FALSE))</f>
      </c>
      <c r="Q817" s="0">
        <f>IF(P817="", "", VLOOKUP(P817, DanhSachNhanVien, 2, FALSE))</f>
      </c>
      <c r="Z817" s="0">
        <f>IF(D817="", "", VLOOKUP(D817, DanhSachLoaiQuyetDinhRange, 2, FALSE))</f>
      </c>
      <c r="AA817" s="0">
        <f>IF(I817="", "", VLOOKUP(I817, DanhSachPhongBanRange, 2, FALSE))</f>
      </c>
      <c r="AB817" s="0">
        <f>IF(J817="", "", VLOOKUP(J817, DanhSachChucDanhRange, 2, FALSE))</f>
      </c>
      <c r="AC817" s="0">
        <f>IF(L817="", "", VLOOKUP(L817, ThangLuongData, 2, FALSE))</f>
      </c>
      <c r="AD817" s="0">
        <f>IF(M817="", "", VLOOKUP(M817, NgachLuongData, 2, FALSE))</f>
      </c>
      <c r="AE817" s="0">
        <f>IF(N817="", "", VLOOKUP(N817, BacLuongData, 2, FALSE))</f>
      </c>
      <c r="AF817" s="0">
        <f>IF(P817="", "", VLOOKUP(P817, DanhSachCodeId, 3, FALSE))</f>
      </c>
    </row>
    <row r="818">
      <c r="A818" s="0">
        <f>IF(B818="", "", VLOOKUP(B818, DanhSachCodeId, 3, FALSE))</f>
      </c>
      <c r="C818" s="0">
        <f>IF(B818="", "", VLOOKUP(B818, DanhSachNhanVien, 2, FALSE))</f>
      </c>
      <c r="Q818" s="0">
        <f>IF(P818="", "", VLOOKUP(P818, DanhSachNhanVien, 2, FALSE))</f>
      </c>
      <c r="Z818" s="0">
        <f>IF(D818="", "", VLOOKUP(D818, DanhSachLoaiQuyetDinhRange, 2, FALSE))</f>
      </c>
      <c r="AA818" s="0">
        <f>IF(I818="", "", VLOOKUP(I818, DanhSachPhongBanRange, 2, FALSE))</f>
      </c>
      <c r="AB818" s="0">
        <f>IF(J818="", "", VLOOKUP(J818, DanhSachChucDanhRange, 2, FALSE))</f>
      </c>
      <c r="AC818" s="0">
        <f>IF(L818="", "", VLOOKUP(L818, ThangLuongData, 2, FALSE))</f>
      </c>
      <c r="AD818" s="0">
        <f>IF(M818="", "", VLOOKUP(M818, NgachLuongData, 2, FALSE))</f>
      </c>
      <c r="AE818" s="0">
        <f>IF(N818="", "", VLOOKUP(N818, BacLuongData, 2, FALSE))</f>
      </c>
      <c r="AF818" s="0">
        <f>IF(P818="", "", VLOOKUP(P818, DanhSachCodeId, 3, FALSE))</f>
      </c>
    </row>
    <row r="819">
      <c r="A819" s="0">
        <f>IF(B819="", "", VLOOKUP(B819, DanhSachCodeId, 3, FALSE))</f>
      </c>
      <c r="C819" s="0">
        <f>IF(B819="", "", VLOOKUP(B819, DanhSachNhanVien, 2, FALSE))</f>
      </c>
      <c r="Q819" s="0">
        <f>IF(P819="", "", VLOOKUP(P819, DanhSachNhanVien, 2, FALSE))</f>
      </c>
      <c r="Z819" s="0">
        <f>IF(D819="", "", VLOOKUP(D819, DanhSachLoaiQuyetDinhRange, 2, FALSE))</f>
      </c>
      <c r="AA819" s="0">
        <f>IF(I819="", "", VLOOKUP(I819, DanhSachPhongBanRange, 2, FALSE))</f>
      </c>
      <c r="AB819" s="0">
        <f>IF(J819="", "", VLOOKUP(J819, DanhSachChucDanhRange, 2, FALSE))</f>
      </c>
      <c r="AC819" s="0">
        <f>IF(L819="", "", VLOOKUP(L819, ThangLuongData, 2, FALSE))</f>
      </c>
      <c r="AD819" s="0">
        <f>IF(M819="", "", VLOOKUP(M819, NgachLuongData, 2, FALSE))</f>
      </c>
      <c r="AE819" s="0">
        <f>IF(N819="", "", VLOOKUP(N819, BacLuongData, 2, FALSE))</f>
      </c>
      <c r="AF819" s="0">
        <f>IF(P819="", "", VLOOKUP(P819, DanhSachCodeId, 3, FALSE))</f>
      </c>
    </row>
    <row r="820">
      <c r="A820" s="0">
        <f>IF(B820="", "", VLOOKUP(B820, DanhSachCodeId, 3, FALSE))</f>
      </c>
      <c r="C820" s="0">
        <f>IF(B820="", "", VLOOKUP(B820, DanhSachNhanVien, 2, FALSE))</f>
      </c>
      <c r="Q820" s="0">
        <f>IF(P820="", "", VLOOKUP(P820, DanhSachNhanVien, 2, FALSE))</f>
      </c>
      <c r="Z820" s="0">
        <f>IF(D820="", "", VLOOKUP(D820, DanhSachLoaiQuyetDinhRange, 2, FALSE))</f>
      </c>
      <c r="AA820" s="0">
        <f>IF(I820="", "", VLOOKUP(I820, DanhSachPhongBanRange, 2, FALSE))</f>
      </c>
      <c r="AB820" s="0">
        <f>IF(J820="", "", VLOOKUP(J820, DanhSachChucDanhRange, 2, FALSE))</f>
      </c>
      <c r="AC820" s="0">
        <f>IF(L820="", "", VLOOKUP(L820, ThangLuongData, 2, FALSE))</f>
      </c>
      <c r="AD820" s="0">
        <f>IF(M820="", "", VLOOKUP(M820, NgachLuongData, 2, FALSE))</f>
      </c>
      <c r="AE820" s="0">
        <f>IF(N820="", "", VLOOKUP(N820, BacLuongData, 2, FALSE))</f>
      </c>
      <c r="AF820" s="0">
        <f>IF(P820="", "", VLOOKUP(P820, DanhSachCodeId, 3, FALSE))</f>
      </c>
    </row>
    <row r="821">
      <c r="A821" s="0">
        <f>IF(B821="", "", VLOOKUP(B821, DanhSachCodeId, 3, FALSE))</f>
      </c>
      <c r="C821" s="0">
        <f>IF(B821="", "", VLOOKUP(B821, DanhSachNhanVien, 2, FALSE))</f>
      </c>
      <c r="Q821" s="0">
        <f>IF(P821="", "", VLOOKUP(P821, DanhSachNhanVien, 2, FALSE))</f>
      </c>
      <c r="Z821" s="0">
        <f>IF(D821="", "", VLOOKUP(D821, DanhSachLoaiQuyetDinhRange, 2, FALSE))</f>
      </c>
      <c r="AA821" s="0">
        <f>IF(I821="", "", VLOOKUP(I821, DanhSachPhongBanRange, 2, FALSE))</f>
      </c>
      <c r="AB821" s="0">
        <f>IF(J821="", "", VLOOKUP(J821, DanhSachChucDanhRange, 2, FALSE))</f>
      </c>
      <c r="AC821" s="0">
        <f>IF(L821="", "", VLOOKUP(L821, ThangLuongData, 2, FALSE))</f>
      </c>
      <c r="AD821" s="0">
        <f>IF(M821="", "", VLOOKUP(M821, NgachLuongData, 2, FALSE))</f>
      </c>
      <c r="AE821" s="0">
        <f>IF(N821="", "", VLOOKUP(N821, BacLuongData, 2, FALSE))</f>
      </c>
      <c r="AF821" s="0">
        <f>IF(P821="", "", VLOOKUP(P821, DanhSachCodeId, 3, FALSE))</f>
      </c>
    </row>
    <row r="822">
      <c r="A822" s="0">
        <f>IF(B822="", "", VLOOKUP(B822, DanhSachCodeId, 3, FALSE))</f>
      </c>
      <c r="C822" s="0">
        <f>IF(B822="", "", VLOOKUP(B822, DanhSachNhanVien, 2, FALSE))</f>
      </c>
      <c r="Q822" s="0">
        <f>IF(P822="", "", VLOOKUP(P822, DanhSachNhanVien, 2, FALSE))</f>
      </c>
      <c r="Z822" s="0">
        <f>IF(D822="", "", VLOOKUP(D822, DanhSachLoaiQuyetDinhRange, 2, FALSE))</f>
      </c>
      <c r="AA822" s="0">
        <f>IF(I822="", "", VLOOKUP(I822, DanhSachPhongBanRange, 2, FALSE))</f>
      </c>
      <c r="AB822" s="0">
        <f>IF(J822="", "", VLOOKUP(J822, DanhSachChucDanhRange, 2, FALSE))</f>
      </c>
      <c r="AC822" s="0">
        <f>IF(L822="", "", VLOOKUP(L822, ThangLuongData, 2, FALSE))</f>
      </c>
      <c r="AD822" s="0">
        <f>IF(M822="", "", VLOOKUP(M822, NgachLuongData, 2, FALSE))</f>
      </c>
      <c r="AE822" s="0">
        <f>IF(N822="", "", VLOOKUP(N822, BacLuongData, 2, FALSE))</f>
      </c>
      <c r="AF822" s="0">
        <f>IF(P822="", "", VLOOKUP(P822, DanhSachCodeId, 3, FALSE))</f>
      </c>
    </row>
    <row r="823">
      <c r="A823" s="0">
        <f>IF(B823="", "", VLOOKUP(B823, DanhSachCodeId, 3, FALSE))</f>
      </c>
      <c r="C823" s="0">
        <f>IF(B823="", "", VLOOKUP(B823, DanhSachNhanVien, 2, FALSE))</f>
      </c>
      <c r="Q823" s="0">
        <f>IF(P823="", "", VLOOKUP(P823, DanhSachNhanVien, 2, FALSE))</f>
      </c>
      <c r="Z823" s="0">
        <f>IF(D823="", "", VLOOKUP(D823, DanhSachLoaiQuyetDinhRange, 2, FALSE))</f>
      </c>
      <c r="AA823" s="0">
        <f>IF(I823="", "", VLOOKUP(I823, DanhSachPhongBanRange, 2, FALSE))</f>
      </c>
      <c r="AB823" s="0">
        <f>IF(J823="", "", VLOOKUP(J823, DanhSachChucDanhRange, 2, FALSE))</f>
      </c>
      <c r="AC823" s="0">
        <f>IF(L823="", "", VLOOKUP(L823, ThangLuongData, 2, FALSE))</f>
      </c>
      <c r="AD823" s="0">
        <f>IF(M823="", "", VLOOKUP(M823, NgachLuongData, 2, FALSE))</f>
      </c>
      <c r="AE823" s="0">
        <f>IF(N823="", "", VLOOKUP(N823, BacLuongData, 2, FALSE))</f>
      </c>
      <c r="AF823" s="0">
        <f>IF(P823="", "", VLOOKUP(P823, DanhSachCodeId, 3, FALSE))</f>
      </c>
    </row>
    <row r="824">
      <c r="A824" s="0">
        <f>IF(B824="", "", VLOOKUP(B824, DanhSachCodeId, 3, FALSE))</f>
      </c>
      <c r="C824" s="0">
        <f>IF(B824="", "", VLOOKUP(B824, DanhSachNhanVien, 2, FALSE))</f>
      </c>
      <c r="Q824" s="0">
        <f>IF(P824="", "", VLOOKUP(P824, DanhSachNhanVien, 2, FALSE))</f>
      </c>
      <c r="Z824" s="0">
        <f>IF(D824="", "", VLOOKUP(D824, DanhSachLoaiQuyetDinhRange, 2, FALSE))</f>
      </c>
      <c r="AA824" s="0">
        <f>IF(I824="", "", VLOOKUP(I824, DanhSachPhongBanRange, 2, FALSE))</f>
      </c>
      <c r="AB824" s="0">
        <f>IF(J824="", "", VLOOKUP(J824, DanhSachChucDanhRange, 2, FALSE))</f>
      </c>
      <c r="AC824" s="0">
        <f>IF(L824="", "", VLOOKUP(L824, ThangLuongData, 2, FALSE))</f>
      </c>
      <c r="AD824" s="0">
        <f>IF(M824="", "", VLOOKUP(M824, NgachLuongData, 2, FALSE))</f>
      </c>
      <c r="AE824" s="0">
        <f>IF(N824="", "", VLOOKUP(N824, BacLuongData, 2, FALSE))</f>
      </c>
      <c r="AF824" s="0">
        <f>IF(P824="", "", VLOOKUP(P824, DanhSachCodeId, 3, FALSE))</f>
      </c>
    </row>
    <row r="825">
      <c r="A825" s="0">
        <f>IF(B825="", "", VLOOKUP(B825, DanhSachCodeId, 3, FALSE))</f>
      </c>
      <c r="C825" s="0">
        <f>IF(B825="", "", VLOOKUP(B825, DanhSachNhanVien, 2, FALSE))</f>
      </c>
      <c r="Q825" s="0">
        <f>IF(P825="", "", VLOOKUP(P825, DanhSachNhanVien, 2, FALSE))</f>
      </c>
      <c r="Z825" s="0">
        <f>IF(D825="", "", VLOOKUP(D825, DanhSachLoaiQuyetDinhRange, 2, FALSE))</f>
      </c>
      <c r="AA825" s="0">
        <f>IF(I825="", "", VLOOKUP(I825, DanhSachPhongBanRange, 2, FALSE))</f>
      </c>
      <c r="AB825" s="0">
        <f>IF(J825="", "", VLOOKUP(J825, DanhSachChucDanhRange, 2, FALSE))</f>
      </c>
      <c r="AC825" s="0">
        <f>IF(L825="", "", VLOOKUP(L825, ThangLuongData, 2, FALSE))</f>
      </c>
      <c r="AD825" s="0">
        <f>IF(M825="", "", VLOOKUP(M825, NgachLuongData, 2, FALSE))</f>
      </c>
      <c r="AE825" s="0">
        <f>IF(N825="", "", VLOOKUP(N825, BacLuongData, 2, FALSE))</f>
      </c>
      <c r="AF825" s="0">
        <f>IF(P825="", "", VLOOKUP(P825, DanhSachCodeId, 3, FALSE))</f>
      </c>
    </row>
    <row r="826">
      <c r="A826" s="0">
        <f>IF(B826="", "", VLOOKUP(B826, DanhSachCodeId, 3, FALSE))</f>
      </c>
      <c r="C826" s="0">
        <f>IF(B826="", "", VLOOKUP(B826, DanhSachNhanVien, 2, FALSE))</f>
      </c>
      <c r="Q826" s="0">
        <f>IF(P826="", "", VLOOKUP(P826, DanhSachNhanVien, 2, FALSE))</f>
      </c>
      <c r="Z826" s="0">
        <f>IF(D826="", "", VLOOKUP(D826, DanhSachLoaiQuyetDinhRange, 2, FALSE))</f>
      </c>
      <c r="AA826" s="0">
        <f>IF(I826="", "", VLOOKUP(I826, DanhSachPhongBanRange, 2, FALSE))</f>
      </c>
      <c r="AB826" s="0">
        <f>IF(J826="", "", VLOOKUP(J826, DanhSachChucDanhRange, 2, FALSE))</f>
      </c>
      <c r="AC826" s="0">
        <f>IF(L826="", "", VLOOKUP(L826, ThangLuongData, 2, FALSE))</f>
      </c>
      <c r="AD826" s="0">
        <f>IF(M826="", "", VLOOKUP(M826, NgachLuongData, 2, FALSE))</f>
      </c>
      <c r="AE826" s="0">
        <f>IF(N826="", "", VLOOKUP(N826, BacLuongData, 2, FALSE))</f>
      </c>
      <c r="AF826" s="0">
        <f>IF(P826="", "", VLOOKUP(P826, DanhSachCodeId, 3, FALSE))</f>
      </c>
    </row>
    <row r="827">
      <c r="A827" s="0">
        <f>IF(B827="", "", VLOOKUP(B827, DanhSachCodeId, 3, FALSE))</f>
      </c>
      <c r="C827" s="0">
        <f>IF(B827="", "", VLOOKUP(B827, DanhSachNhanVien, 2, FALSE))</f>
      </c>
      <c r="Q827" s="0">
        <f>IF(P827="", "", VLOOKUP(P827, DanhSachNhanVien, 2, FALSE))</f>
      </c>
      <c r="Z827" s="0">
        <f>IF(D827="", "", VLOOKUP(D827, DanhSachLoaiQuyetDinhRange, 2, FALSE))</f>
      </c>
      <c r="AA827" s="0">
        <f>IF(I827="", "", VLOOKUP(I827, DanhSachPhongBanRange, 2, FALSE))</f>
      </c>
      <c r="AB827" s="0">
        <f>IF(J827="", "", VLOOKUP(J827, DanhSachChucDanhRange, 2, FALSE))</f>
      </c>
      <c r="AC827" s="0">
        <f>IF(L827="", "", VLOOKUP(L827, ThangLuongData, 2, FALSE))</f>
      </c>
      <c r="AD827" s="0">
        <f>IF(M827="", "", VLOOKUP(M827, NgachLuongData, 2, FALSE))</f>
      </c>
      <c r="AE827" s="0">
        <f>IF(N827="", "", VLOOKUP(N827, BacLuongData, 2, FALSE))</f>
      </c>
      <c r="AF827" s="0">
        <f>IF(P827="", "", VLOOKUP(P827, DanhSachCodeId, 3, FALSE))</f>
      </c>
    </row>
    <row r="828">
      <c r="A828" s="0">
        <f>IF(B828="", "", VLOOKUP(B828, DanhSachCodeId, 3, FALSE))</f>
      </c>
      <c r="C828" s="0">
        <f>IF(B828="", "", VLOOKUP(B828, DanhSachNhanVien, 2, FALSE))</f>
      </c>
      <c r="Q828" s="0">
        <f>IF(P828="", "", VLOOKUP(P828, DanhSachNhanVien, 2, FALSE))</f>
      </c>
      <c r="Z828" s="0">
        <f>IF(D828="", "", VLOOKUP(D828, DanhSachLoaiQuyetDinhRange, 2, FALSE))</f>
      </c>
      <c r="AA828" s="0">
        <f>IF(I828="", "", VLOOKUP(I828, DanhSachPhongBanRange, 2, FALSE))</f>
      </c>
      <c r="AB828" s="0">
        <f>IF(J828="", "", VLOOKUP(J828, DanhSachChucDanhRange, 2, FALSE))</f>
      </c>
      <c r="AC828" s="0">
        <f>IF(L828="", "", VLOOKUP(L828, ThangLuongData, 2, FALSE))</f>
      </c>
      <c r="AD828" s="0">
        <f>IF(M828="", "", VLOOKUP(M828, NgachLuongData, 2, FALSE))</f>
      </c>
      <c r="AE828" s="0">
        <f>IF(N828="", "", VLOOKUP(N828, BacLuongData, 2, FALSE))</f>
      </c>
      <c r="AF828" s="0">
        <f>IF(P828="", "", VLOOKUP(P828, DanhSachCodeId, 3, FALSE))</f>
      </c>
    </row>
    <row r="829">
      <c r="A829" s="0">
        <f>IF(B829="", "", VLOOKUP(B829, DanhSachCodeId, 3, FALSE))</f>
      </c>
      <c r="C829" s="0">
        <f>IF(B829="", "", VLOOKUP(B829, DanhSachNhanVien, 2, FALSE))</f>
      </c>
      <c r="Q829" s="0">
        <f>IF(P829="", "", VLOOKUP(P829, DanhSachNhanVien, 2, FALSE))</f>
      </c>
      <c r="Z829" s="0">
        <f>IF(D829="", "", VLOOKUP(D829, DanhSachLoaiQuyetDinhRange, 2, FALSE))</f>
      </c>
      <c r="AA829" s="0">
        <f>IF(I829="", "", VLOOKUP(I829, DanhSachPhongBanRange, 2, FALSE))</f>
      </c>
      <c r="AB829" s="0">
        <f>IF(J829="", "", VLOOKUP(J829, DanhSachChucDanhRange, 2, FALSE))</f>
      </c>
      <c r="AC829" s="0">
        <f>IF(L829="", "", VLOOKUP(L829, ThangLuongData, 2, FALSE))</f>
      </c>
      <c r="AD829" s="0">
        <f>IF(M829="", "", VLOOKUP(M829, NgachLuongData, 2, FALSE))</f>
      </c>
      <c r="AE829" s="0">
        <f>IF(N829="", "", VLOOKUP(N829, BacLuongData, 2, FALSE))</f>
      </c>
      <c r="AF829" s="0">
        <f>IF(P829="", "", VLOOKUP(P829, DanhSachCodeId, 3, FALSE))</f>
      </c>
    </row>
    <row r="830">
      <c r="A830" s="0">
        <f>IF(B830="", "", VLOOKUP(B830, DanhSachCodeId, 3, FALSE))</f>
      </c>
      <c r="C830" s="0">
        <f>IF(B830="", "", VLOOKUP(B830, DanhSachNhanVien, 2, FALSE))</f>
      </c>
      <c r="Q830" s="0">
        <f>IF(P830="", "", VLOOKUP(P830, DanhSachNhanVien, 2, FALSE))</f>
      </c>
      <c r="Z830" s="0">
        <f>IF(D830="", "", VLOOKUP(D830, DanhSachLoaiQuyetDinhRange, 2, FALSE))</f>
      </c>
      <c r="AA830" s="0">
        <f>IF(I830="", "", VLOOKUP(I830, DanhSachPhongBanRange, 2, FALSE))</f>
      </c>
      <c r="AB830" s="0">
        <f>IF(J830="", "", VLOOKUP(J830, DanhSachChucDanhRange, 2, FALSE))</f>
      </c>
      <c r="AC830" s="0">
        <f>IF(L830="", "", VLOOKUP(L830, ThangLuongData, 2, FALSE))</f>
      </c>
      <c r="AD830" s="0">
        <f>IF(M830="", "", VLOOKUP(M830, NgachLuongData, 2, FALSE))</f>
      </c>
      <c r="AE830" s="0">
        <f>IF(N830="", "", VLOOKUP(N830, BacLuongData, 2, FALSE))</f>
      </c>
      <c r="AF830" s="0">
        <f>IF(P830="", "", VLOOKUP(P830, DanhSachCodeId, 3, FALSE))</f>
      </c>
    </row>
    <row r="831">
      <c r="A831" s="0">
        <f>IF(B831="", "", VLOOKUP(B831, DanhSachCodeId, 3, FALSE))</f>
      </c>
      <c r="C831" s="0">
        <f>IF(B831="", "", VLOOKUP(B831, DanhSachNhanVien, 2, FALSE))</f>
      </c>
      <c r="Q831" s="0">
        <f>IF(P831="", "", VLOOKUP(P831, DanhSachNhanVien, 2, FALSE))</f>
      </c>
      <c r="Z831" s="0">
        <f>IF(D831="", "", VLOOKUP(D831, DanhSachLoaiQuyetDinhRange, 2, FALSE))</f>
      </c>
      <c r="AA831" s="0">
        <f>IF(I831="", "", VLOOKUP(I831, DanhSachPhongBanRange, 2, FALSE))</f>
      </c>
      <c r="AB831" s="0">
        <f>IF(J831="", "", VLOOKUP(J831, DanhSachChucDanhRange, 2, FALSE))</f>
      </c>
      <c r="AC831" s="0">
        <f>IF(L831="", "", VLOOKUP(L831, ThangLuongData, 2, FALSE))</f>
      </c>
      <c r="AD831" s="0">
        <f>IF(M831="", "", VLOOKUP(M831, NgachLuongData, 2, FALSE))</f>
      </c>
      <c r="AE831" s="0">
        <f>IF(N831="", "", VLOOKUP(N831, BacLuongData, 2, FALSE))</f>
      </c>
      <c r="AF831" s="0">
        <f>IF(P831="", "", VLOOKUP(P831, DanhSachCodeId, 3, FALSE))</f>
      </c>
    </row>
    <row r="832">
      <c r="A832" s="0">
        <f>IF(B832="", "", VLOOKUP(B832, DanhSachCodeId, 3, FALSE))</f>
      </c>
      <c r="C832" s="0">
        <f>IF(B832="", "", VLOOKUP(B832, DanhSachNhanVien, 2, FALSE))</f>
      </c>
      <c r="Q832" s="0">
        <f>IF(P832="", "", VLOOKUP(P832, DanhSachNhanVien, 2, FALSE))</f>
      </c>
      <c r="Z832" s="0">
        <f>IF(D832="", "", VLOOKUP(D832, DanhSachLoaiQuyetDinhRange, 2, FALSE))</f>
      </c>
      <c r="AA832" s="0">
        <f>IF(I832="", "", VLOOKUP(I832, DanhSachPhongBanRange, 2, FALSE))</f>
      </c>
      <c r="AB832" s="0">
        <f>IF(J832="", "", VLOOKUP(J832, DanhSachChucDanhRange, 2, FALSE))</f>
      </c>
      <c r="AC832" s="0">
        <f>IF(L832="", "", VLOOKUP(L832, ThangLuongData, 2, FALSE))</f>
      </c>
      <c r="AD832" s="0">
        <f>IF(M832="", "", VLOOKUP(M832, NgachLuongData, 2, FALSE))</f>
      </c>
      <c r="AE832" s="0">
        <f>IF(N832="", "", VLOOKUP(N832, BacLuongData, 2, FALSE))</f>
      </c>
      <c r="AF832" s="0">
        <f>IF(P832="", "", VLOOKUP(P832, DanhSachCodeId, 3, FALSE))</f>
      </c>
    </row>
    <row r="833">
      <c r="A833" s="0">
        <f>IF(B833="", "", VLOOKUP(B833, DanhSachCodeId, 3, FALSE))</f>
      </c>
      <c r="C833" s="0">
        <f>IF(B833="", "", VLOOKUP(B833, DanhSachNhanVien, 2, FALSE))</f>
      </c>
      <c r="Q833" s="0">
        <f>IF(P833="", "", VLOOKUP(P833, DanhSachNhanVien, 2, FALSE))</f>
      </c>
      <c r="Z833" s="0">
        <f>IF(D833="", "", VLOOKUP(D833, DanhSachLoaiQuyetDinhRange, 2, FALSE))</f>
      </c>
      <c r="AA833" s="0">
        <f>IF(I833="", "", VLOOKUP(I833, DanhSachPhongBanRange, 2, FALSE))</f>
      </c>
      <c r="AB833" s="0">
        <f>IF(J833="", "", VLOOKUP(J833, DanhSachChucDanhRange, 2, FALSE))</f>
      </c>
      <c r="AC833" s="0">
        <f>IF(L833="", "", VLOOKUP(L833, ThangLuongData, 2, FALSE))</f>
      </c>
      <c r="AD833" s="0">
        <f>IF(M833="", "", VLOOKUP(M833, NgachLuongData, 2, FALSE))</f>
      </c>
      <c r="AE833" s="0">
        <f>IF(N833="", "", VLOOKUP(N833, BacLuongData, 2, FALSE))</f>
      </c>
      <c r="AF833" s="0">
        <f>IF(P833="", "", VLOOKUP(P833, DanhSachCodeId, 3, FALSE))</f>
      </c>
    </row>
    <row r="834">
      <c r="A834" s="0">
        <f>IF(B834="", "", VLOOKUP(B834, DanhSachCodeId, 3, FALSE))</f>
      </c>
      <c r="C834" s="0">
        <f>IF(B834="", "", VLOOKUP(B834, DanhSachNhanVien, 2, FALSE))</f>
      </c>
      <c r="Q834" s="0">
        <f>IF(P834="", "", VLOOKUP(P834, DanhSachNhanVien, 2, FALSE))</f>
      </c>
      <c r="Z834" s="0">
        <f>IF(D834="", "", VLOOKUP(D834, DanhSachLoaiQuyetDinhRange, 2, FALSE))</f>
      </c>
      <c r="AA834" s="0">
        <f>IF(I834="", "", VLOOKUP(I834, DanhSachPhongBanRange, 2, FALSE))</f>
      </c>
      <c r="AB834" s="0">
        <f>IF(J834="", "", VLOOKUP(J834, DanhSachChucDanhRange, 2, FALSE))</f>
      </c>
      <c r="AC834" s="0">
        <f>IF(L834="", "", VLOOKUP(L834, ThangLuongData, 2, FALSE))</f>
      </c>
      <c r="AD834" s="0">
        <f>IF(M834="", "", VLOOKUP(M834, NgachLuongData, 2, FALSE))</f>
      </c>
      <c r="AE834" s="0">
        <f>IF(N834="", "", VLOOKUP(N834, BacLuongData, 2, FALSE))</f>
      </c>
      <c r="AF834" s="0">
        <f>IF(P834="", "", VLOOKUP(P834, DanhSachCodeId, 3, FALSE))</f>
      </c>
    </row>
    <row r="835">
      <c r="A835" s="0">
        <f>IF(B835="", "", VLOOKUP(B835, DanhSachCodeId, 3, FALSE))</f>
      </c>
      <c r="C835" s="0">
        <f>IF(B835="", "", VLOOKUP(B835, DanhSachNhanVien, 2, FALSE))</f>
      </c>
      <c r="Q835" s="0">
        <f>IF(P835="", "", VLOOKUP(P835, DanhSachNhanVien, 2, FALSE))</f>
      </c>
      <c r="Z835" s="0">
        <f>IF(D835="", "", VLOOKUP(D835, DanhSachLoaiQuyetDinhRange, 2, FALSE))</f>
      </c>
      <c r="AA835" s="0">
        <f>IF(I835="", "", VLOOKUP(I835, DanhSachPhongBanRange, 2, FALSE))</f>
      </c>
      <c r="AB835" s="0">
        <f>IF(J835="", "", VLOOKUP(J835, DanhSachChucDanhRange, 2, FALSE))</f>
      </c>
      <c r="AC835" s="0">
        <f>IF(L835="", "", VLOOKUP(L835, ThangLuongData, 2, FALSE))</f>
      </c>
      <c r="AD835" s="0">
        <f>IF(M835="", "", VLOOKUP(M835, NgachLuongData, 2, FALSE))</f>
      </c>
      <c r="AE835" s="0">
        <f>IF(N835="", "", VLOOKUP(N835, BacLuongData, 2, FALSE))</f>
      </c>
      <c r="AF835" s="0">
        <f>IF(P835="", "", VLOOKUP(P835, DanhSachCodeId, 3, FALSE))</f>
      </c>
    </row>
    <row r="836">
      <c r="A836" s="0">
        <f>IF(B836="", "", VLOOKUP(B836, DanhSachCodeId, 3, FALSE))</f>
      </c>
      <c r="C836" s="0">
        <f>IF(B836="", "", VLOOKUP(B836, DanhSachNhanVien, 2, FALSE))</f>
      </c>
      <c r="Q836" s="0">
        <f>IF(P836="", "", VLOOKUP(P836, DanhSachNhanVien, 2, FALSE))</f>
      </c>
      <c r="Z836" s="0">
        <f>IF(D836="", "", VLOOKUP(D836, DanhSachLoaiQuyetDinhRange, 2, FALSE))</f>
      </c>
      <c r="AA836" s="0">
        <f>IF(I836="", "", VLOOKUP(I836, DanhSachPhongBanRange, 2, FALSE))</f>
      </c>
      <c r="AB836" s="0">
        <f>IF(J836="", "", VLOOKUP(J836, DanhSachChucDanhRange, 2, FALSE))</f>
      </c>
      <c r="AC836" s="0">
        <f>IF(L836="", "", VLOOKUP(L836, ThangLuongData, 2, FALSE))</f>
      </c>
      <c r="AD836" s="0">
        <f>IF(M836="", "", VLOOKUP(M836, NgachLuongData, 2, FALSE))</f>
      </c>
      <c r="AE836" s="0">
        <f>IF(N836="", "", VLOOKUP(N836, BacLuongData, 2, FALSE))</f>
      </c>
      <c r="AF836" s="0">
        <f>IF(P836="", "", VLOOKUP(P836, DanhSachCodeId, 3, FALSE))</f>
      </c>
    </row>
    <row r="837">
      <c r="A837" s="0">
        <f>IF(B837="", "", VLOOKUP(B837, DanhSachCodeId, 3, FALSE))</f>
      </c>
      <c r="C837" s="0">
        <f>IF(B837="", "", VLOOKUP(B837, DanhSachNhanVien, 2, FALSE))</f>
      </c>
      <c r="Q837" s="0">
        <f>IF(P837="", "", VLOOKUP(P837, DanhSachNhanVien, 2, FALSE))</f>
      </c>
      <c r="Z837" s="0">
        <f>IF(D837="", "", VLOOKUP(D837, DanhSachLoaiQuyetDinhRange, 2, FALSE))</f>
      </c>
      <c r="AA837" s="0">
        <f>IF(I837="", "", VLOOKUP(I837, DanhSachPhongBanRange, 2, FALSE))</f>
      </c>
      <c r="AB837" s="0">
        <f>IF(J837="", "", VLOOKUP(J837, DanhSachChucDanhRange, 2, FALSE))</f>
      </c>
      <c r="AC837" s="0">
        <f>IF(L837="", "", VLOOKUP(L837, ThangLuongData, 2, FALSE))</f>
      </c>
      <c r="AD837" s="0">
        <f>IF(M837="", "", VLOOKUP(M837, NgachLuongData, 2, FALSE))</f>
      </c>
      <c r="AE837" s="0">
        <f>IF(N837="", "", VLOOKUP(N837, BacLuongData, 2, FALSE))</f>
      </c>
      <c r="AF837" s="0">
        <f>IF(P837="", "", VLOOKUP(P837, DanhSachCodeId, 3, FALSE))</f>
      </c>
    </row>
    <row r="838">
      <c r="A838" s="0">
        <f>IF(B838="", "", VLOOKUP(B838, DanhSachCodeId, 3, FALSE))</f>
      </c>
      <c r="C838" s="0">
        <f>IF(B838="", "", VLOOKUP(B838, DanhSachNhanVien, 2, FALSE))</f>
      </c>
      <c r="Q838" s="0">
        <f>IF(P838="", "", VLOOKUP(P838, DanhSachNhanVien, 2, FALSE))</f>
      </c>
      <c r="Z838" s="0">
        <f>IF(D838="", "", VLOOKUP(D838, DanhSachLoaiQuyetDinhRange, 2, FALSE))</f>
      </c>
      <c r="AA838" s="0">
        <f>IF(I838="", "", VLOOKUP(I838, DanhSachPhongBanRange, 2, FALSE))</f>
      </c>
      <c r="AB838" s="0">
        <f>IF(J838="", "", VLOOKUP(J838, DanhSachChucDanhRange, 2, FALSE))</f>
      </c>
      <c r="AC838" s="0">
        <f>IF(L838="", "", VLOOKUP(L838, ThangLuongData, 2, FALSE))</f>
      </c>
      <c r="AD838" s="0">
        <f>IF(M838="", "", VLOOKUP(M838, NgachLuongData, 2, FALSE))</f>
      </c>
      <c r="AE838" s="0">
        <f>IF(N838="", "", VLOOKUP(N838, BacLuongData, 2, FALSE))</f>
      </c>
      <c r="AF838" s="0">
        <f>IF(P838="", "", VLOOKUP(P838, DanhSachCodeId, 3, FALSE))</f>
      </c>
    </row>
    <row r="839">
      <c r="A839" s="0">
        <f>IF(B839="", "", VLOOKUP(B839, DanhSachCodeId, 3, FALSE))</f>
      </c>
      <c r="C839" s="0">
        <f>IF(B839="", "", VLOOKUP(B839, DanhSachNhanVien, 2, FALSE))</f>
      </c>
      <c r="Q839" s="0">
        <f>IF(P839="", "", VLOOKUP(P839, DanhSachNhanVien, 2, FALSE))</f>
      </c>
      <c r="Z839" s="0">
        <f>IF(D839="", "", VLOOKUP(D839, DanhSachLoaiQuyetDinhRange, 2, FALSE))</f>
      </c>
      <c r="AA839" s="0">
        <f>IF(I839="", "", VLOOKUP(I839, DanhSachPhongBanRange, 2, FALSE))</f>
      </c>
      <c r="AB839" s="0">
        <f>IF(J839="", "", VLOOKUP(J839, DanhSachChucDanhRange, 2, FALSE))</f>
      </c>
      <c r="AC839" s="0">
        <f>IF(L839="", "", VLOOKUP(L839, ThangLuongData, 2, FALSE))</f>
      </c>
      <c r="AD839" s="0">
        <f>IF(M839="", "", VLOOKUP(M839, NgachLuongData, 2, FALSE))</f>
      </c>
      <c r="AE839" s="0">
        <f>IF(N839="", "", VLOOKUP(N839, BacLuongData, 2, FALSE))</f>
      </c>
      <c r="AF839" s="0">
        <f>IF(P839="", "", VLOOKUP(P839, DanhSachCodeId, 3, FALSE))</f>
      </c>
    </row>
    <row r="840">
      <c r="A840" s="0">
        <f>IF(B840="", "", VLOOKUP(B840, DanhSachCodeId, 3, FALSE))</f>
      </c>
      <c r="C840" s="0">
        <f>IF(B840="", "", VLOOKUP(B840, DanhSachNhanVien, 2, FALSE))</f>
      </c>
      <c r="Q840" s="0">
        <f>IF(P840="", "", VLOOKUP(P840, DanhSachNhanVien, 2, FALSE))</f>
      </c>
      <c r="Z840" s="0">
        <f>IF(D840="", "", VLOOKUP(D840, DanhSachLoaiQuyetDinhRange, 2, FALSE))</f>
      </c>
      <c r="AA840" s="0">
        <f>IF(I840="", "", VLOOKUP(I840, DanhSachPhongBanRange, 2, FALSE))</f>
      </c>
      <c r="AB840" s="0">
        <f>IF(J840="", "", VLOOKUP(J840, DanhSachChucDanhRange, 2, FALSE))</f>
      </c>
      <c r="AC840" s="0">
        <f>IF(L840="", "", VLOOKUP(L840, ThangLuongData, 2, FALSE))</f>
      </c>
      <c r="AD840" s="0">
        <f>IF(M840="", "", VLOOKUP(M840, NgachLuongData, 2, FALSE))</f>
      </c>
      <c r="AE840" s="0">
        <f>IF(N840="", "", VLOOKUP(N840, BacLuongData, 2, FALSE))</f>
      </c>
      <c r="AF840" s="0">
        <f>IF(P840="", "", VLOOKUP(P840, DanhSachCodeId, 3, FALSE))</f>
      </c>
    </row>
    <row r="841">
      <c r="A841" s="0">
        <f>IF(B841="", "", VLOOKUP(B841, DanhSachCodeId, 3, FALSE))</f>
      </c>
      <c r="C841" s="0">
        <f>IF(B841="", "", VLOOKUP(B841, DanhSachNhanVien, 2, FALSE))</f>
      </c>
      <c r="Q841" s="0">
        <f>IF(P841="", "", VLOOKUP(P841, DanhSachNhanVien, 2, FALSE))</f>
      </c>
      <c r="Z841" s="0">
        <f>IF(D841="", "", VLOOKUP(D841, DanhSachLoaiQuyetDinhRange, 2, FALSE))</f>
      </c>
      <c r="AA841" s="0">
        <f>IF(I841="", "", VLOOKUP(I841, DanhSachPhongBanRange, 2, FALSE))</f>
      </c>
      <c r="AB841" s="0">
        <f>IF(J841="", "", VLOOKUP(J841, DanhSachChucDanhRange, 2, FALSE))</f>
      </c>
      <c r="AC841" s="0">
        <f>IF(L841="", "", VLOOKUP(L841, ThangLuongData, 2, FALSE))</f>
      </c>
      <c r="AD841" s="0">
        <f>IF(M841="", "", VLOOKUP(M841, NgachLuongData, 2, FALSE))</f>
      </c>
      <c r="AE841" s="0">
        <f>IF(N841="", "", VLOOKUP(N841, BacLuongData, 2, FALSE))</f>
      </c>
      <c r="AF841" s="0">
        <f>IF(P841="", "", VLOOKUP(P841, DanhSachCodeId, 3, FALSE))</f>
      </c>
    </row>
    <row r="842">
      <c r="A842" s="0">
        <f>IF(B842="", "", VLOOKUP(B842, DanhSachCodeId, 3, FALSE))</f>
      </c>
      <c r="C842" s="0">
        <f>IF(B842="", "", VLOOKUP(B842, DanhSachNhanVien, 2, FALSE))</f>
      </c>
      <c r="Q842" s="0">
        <f>IF(P842="", "", VLOOKUP(P842, DanhSachNhanVien, 2, FALSE))</f>
      </c>
      <c r="Z842" s="0">
        <f>IF(D842="", "", VLOOKUP(D842, DanhSachLoaiQuyetDinhRange, 2, FALSE))</f>
      </c>
      <c r="AA842" s="0">
        <f>IF(I842="", "", VLOOKUP(I842, DanhSachPhongBanRange, 2, FALSE))</f>
      </c>
      <c r="AB842" s="0">
        <f>IF(J842="", "", VLOOKUP(J842, DanhSachChucDanhRange, 2, FALSE))</f>
      </c>
      <c r="AC842" s="0">
        <f>IF(L842="", "", VLOOKUP(L842, ThangLuongData, 2, FALSE))</f>
      </c>
      <c r="AD842" s="0">
        <f>IF(M842="", "", VLOOKUP(M842, NgachLuongData, 2, FALSE))</f>
      </c>
      <c r="AE842" s="0">
        <f>IF(N842="", "", VLOOKUP(N842, BacLuongData, 2, FALSE))</f>
      </c>
      <c r="AF842" s="0">
        <f>IF(P842="", "", VLOOKUP(P842, DanhSachCodeId, 3, FALSE))</f>
      </c>
    </row>
    <row r="843">
      <c r="A843" s="0">
        <f>IF(B843="", "", VLOOKUP(B843, DanhSachCodeId, 3, FALSE))</f>
      </c>
      <c r="C843" s="0">
        <f>IF(B843="", "", VLOOKUP(B843, DanhSachNhanVien, 2, FALSE))</f>
      </c>
      <c r="Q843" s="0">
        <f>IF(P843="", "", VLOOKUP(P843, DanhSachNhanVien, 2, FALSE))</f>
      </c>
      <c r="Z843" s="0">
        <f>IF(D843="", "", VLOOKUP(D843, DanhSachLoaiQuyetDinhRange, 2, FALSE))</f>
      </c>
      <c r="AA843" s="0">
        <f>IF(I843="", "", VLOOKUP(I843, DanhSachPhongBanRange, 2, FALSE))</f>
      </c>
      <c r="AB843" s="0">
        <f>IF(J843="", "", VLOOKUP(J843, DanhSachChucDanhRange, 2, FALSE))</f>
      </c>
      <c r="AC843" s="0">
        <f>IF(L843="", "", VLOOKUP(L843, ThangLuongData, 2, FALSE))</f>
      </c>
      <c r="AD843" s="0">
        <f>IF(M843="", "", VLOOKUP(M843, NgachLuongData, 2, FALSE))</f>
      </c>
      <c r="AE843" s="0">
        <f>IF(N843="", "", VLOOKUP(N843, BacLuongData, 2, FALSE))</f>
      </c>
      <c r="AF843" s="0">
        <f>IF(P843="", "", VLOOKUP(P843, DanhSachCodeId, 3, FALSE))</f>
      </c>
    </row>
    <row r="844">
      <c r="A844" s="0">
        <f>IF(B844="", "", VLOOKUP(B844, DanhSachCodeId, 3, FALSE))</f>
      </c>
      <c r="C844" s="0">
        <f>IF(B844="", "", VLOOKUP(B844, DanhSachNhanVien, 2, FALSE))</f>
      </c>
      <c r="Q844" s="0">
        <f>IF(P844="", "", VLOOKUP(P844, DanhSachNhanVien, 2, FALSE))</f>
      </c>
      <c r="Z844" s="0">
        <f>IF(D844="", "", VLOOKUP(D844, DanhSachLoaiQuyetDinhRange, 2, FALSE))</f>
      </c>
      <c r="AA844" s="0">
        <f>IF(I844="", "", VLOOKUP(I844, DanhSachPhongBanRange, 2, FALSE))</f>
      </c>
      <c r="AB844" s="0">
        <f>IF(J844="", "", VLOOKUP(J844, DanhSachChucDanhRange, 2, FALSE))</f>
      </c>
      <c r="AC844" s="0">
        <f>IF(L844="", "", VLOOKUP(L844, ThangLuongData, 2, FALSE))</f>
      </c>
      <c r="AD844" s="0">
        <f>IF(M844="", "", VLOOKUP(M844, NgachLuongData, 2, FALSE))</f>
      </c>
      <c r="AE844" s="0">
        <f>IF(N844="", "", VLOOKUP(N844, BacLuongData, 2, FALSE))</f>
      </c>
      <c r="AF844" s="0">
        <f>IF(P844="", "", VLOOKUP(P844, DanhSachCodeId, 3, FALSE))</f>
      </c>
    </row>
    <row r="845">
      <c r="A845" s="0">
        <f>IF(B845="", "", VLOOKUP(B845, DanhSachCodeId, 3, FALSE))</f>
      </c>
      <c r="C845" s="0">
        <f>IF(B845="", "", VLOOKUP(B845, DanhSachNhanVien, 2, FALSE))</f>
      </c>
      <c r="Q845" s="0">
        <f>IF(P845="", "", VLOOKUP(P845, DanhSachNhanVien, 2, FALSE))</f>
      </c>
      <c r="Z845" s="0">
        <f>IF(D845="", "", VLOOKUP(D845, DanhSachLoaiQuyetDinhRange, 2, FALSE))</f>
      </c>
      <c r="AA845" s="0">
        <f>IF(I845="", "", VLOOKUP(I845, DanhSachPhongBanRange, 2, FALSE))</f>
      </c>
      <c r="AB845" s="0">
        <f>IF(J845="", "", VLOOKUP(J845, DanhSachChucDanhRange, 2, FALSE))</f>
      </c>
      <c r="AC845" s="0">
        <f>IF(L845="", "", VLOOKUP(L845, ThangLuongData, 2, FALSE))</f>
      </c>
      <c r="AD845" s="0">
        <f>IF(M845="", "", VLOOKUP(M845, NgachLuongData, 2, FALSE))</f>
      </c>
      <c r="AE845" s="0">
        <f>IF(N845="", "", VLOOKUP(N845, BacLuongData, 2, FALSE))</f>
      </c>
      <c r="AF845" s="0">
        <f>IF(P845="", "", VLOOKUP(P845, DanhSachCodeId, 3, FALSE))</f>
      </c>
    </row>
    <row r="846">
      <c r="A846" s="0">
        <f>IF(B846="", "", VLOOKUP(B846, DanhSachCodeId, 3, FALSE))</f>
      </c>
      <c r="C846" s="0">
        <f>IF(B846="", "", VLOOKUP(B846, DanhSachNhanVien, 2, FALSE))</f>
      </c>
      <c r="Q846" s="0">
        <f>IF(P846="", "", VLOOKUP(P846, DanhSachNhanVien, 2, FALSE))</f>
      </c>
      <c r="Z846" s="0">
        <f>IF(D846="", "", VLOOKUP(D846, DanhSachLoaiQuyetDinhRange, 2, FALSE))</f>
      </c>
      <c r="AA846" s="0">
        <f>IF(I846="", "", VLOOKUP(I846, DanhSachPhongBanRange, 2, FALSE))</f>
      </c>
      <c r="AB846" s="0">
        <f>IF(J846="", "", VLOOKUP(J846, DanhSachChucDanhRange, 2, FALSE))</f>
      </c>
      <c r="AC846" s="0">
        <f>IF(L846="", "", VLOOKUP(L846, ThangLuongData, 2, FALSE))</f>
      </c>
      <c r="AD846" s="0">
        <f>IF(M846="", "", VLOOKUP(M846, NgachLuongData, 2, FALSE))</f>
      </c>
      <c r="AE846" s="0">
        <f>IF(N846="", "", VLOOKUP(N846, BacLuongData, 2, FALSE))</f>
      </c>
      <c r="AF846" s="0">
        <f>IF(P846="", "", VLOOKUP(P846, DanhSachCodeId, 3, FALSE))</f>
      </c>
    </row>
    <row r="847">
      <c r="A847" s="0">
        <f>IF(B847="", "", VLOOKUP(B847, DanhSachCodeId, 3, FALSE))</f>
      </c>
      <c r="C847" s="0">
        <f>IF(B847="", "", VLOOKUP(B847, DanhSachNhanVien, 2, FALSE))</f>
      </c>
      <c r="Q847" s="0">
        <f>IF(P847="", "", VLOOKUP(P847, DanhSachNhanVien, 2, FALSE))</f>
      </c>
      <c r="Z847" s="0">
        <f>IF(D847="", "", VLOOKUP(D847, DanhSachLoaiQuyetDinhRange, 2, FALSE))</f>
      </c>
      <c r="AA847" s="0">
        <f>IF(I847="", "", VLOOKUP(I847, DanhSachPhongBanRange, 2, FALSE))</f>
      </c>
      <c r="AB847" s="0">
        <f>IF(J847="", "", VLOOKUP(J847, DanhSachChucDanhRange, 2, FALSE))</f>
      </c>
      <c r="AC847" s="0">
        <f>IF(L847="", "", VLOOKUP(L847, ThangLuongData, 2, FALSE))</f>
      </c>
      <c r="AD847" s="0">
        <f>IF(M847="", "", VLOOKUP(M847, NgachLuongData, 2, FALSE))</f>
      </c>
      <c r="AE847" s="0">
        <f>IF(N847="", "", VLOOKUP(N847, BacLuongData, 2, FALSE))</f>
      </c>
      <c r="AF847" s="0">
        <f>IF(P847="", "", VLOOKUP(P847, DanhSachCodeId, 3, FALSE))</f>
      </c>
    </row>
    <row r="848">
      <c r="A848" s="0">
        <f>IF(B848="", "", VLOOKUP(B848, DanhSachCodeId, 3, FALSE))</f>
      </c>
      <c r="C848" s="0">
        <f>IF(B848="", "", VLOOKUP(B848, DanhSachNhanVien, 2, FALSE))</f>
      </c>
      <c r="Q848" s="0">
        <f>IF(P848="", "", VLOOKUP(P848, DanhSachNhanVien, 2, FALSE))</f>
      </c>
      <c r="Z848" s="0">
        <f>IF(D848="", "", VLOOKUP(D848, DanhSachLoaiQuyetDinhRange, 2, FALSE))</f>
      </c>
      <c r="AA848" s="0">
        <f>IF(I848="", "", VLOOKUP(I848, DanhSachPhongBanRange, 2, FALSE))</f>
      </c>
      <c r="AB848" s="0">
        <f>IF(J848="", "", VLOOKUP(J848, DanhSachChucDanhRange, 2, FALSE))</f>
      </c>
      <c r="AC848" s="0">
        <f>IF(L848="", "", VLOOKUP(L848, ThangLuongData, 2, FALSE))</f>
      </c>
      <c r="AD848" s="0">
        <f>IF(M848="", "", VLOOKUP(M848, NgachLuongData, 2, FALSE))</f>
      </c>
      <c r="AE848" s="0">
        <f>IF(N848="", "", VLOOKUP(N848, BacLuongData, 2, FALSE))</f>
      </c>
      <c r="AF848" s="0">
        <f>IF(P848="", "", VLOOKUP(P848, DanhSachCodeId, 3, FALSE))</f>
      </c>
    </row>
    <row r="849">
      <c r="A849" s="0">
        <f>IF(B849="", "", VLOOKUP(B849, DanhSachCodeId, 3, FALSE))</f>
      </c>
      <c r="C849" s="0">
        <f>IF(B849="", "", VLOOKUP(B849, DanhSachNhanVien, 2, FALSE))</f>
      </c>
      <c r="Q849" s="0">
        <f>IF(P849="", "", VLOOKUP(P849, DanhSachNhanVien, 2, FALSE))</f>
      </c>
      <c r="Z849" s="0">
        <f>IF(D849="", "", VLOOKUP(D849, DanhSachLoaiQuyetDinhRange, 2, FALSE))</f>
      </c>
      <c r="AA849" s="0">
        <f>IF(I849="", "", VLOOKUP(I849, DanhSachPhongBanRange, 2, FALSE))</f>
      </c>
      <c r="AB849" s="0">
        <f>IF(J849="", "", VLOOKUP(J849, DanhSachChucDanhRange, 2, FALSE))</f>
      </c>
      <c r="AC849" s="0">
        <f>IF(L849="", "", VLOOKUP(L849, ThangLuongData, 2, FALSE))</f>
      </c>
      <c r="AD849" s="0">
        <f>IF(M849="", "", VLOOKUP(M849, NgachLuongData, 2, FALSE))</f>
      </c>
      <c r="AE849" s="0">
        <f>IF(N849="", "", VLOOKUP(N849, BacLuongData, 2, FALSE))</f>
      </c>
      <c r="AF849" s="0">
        <f>IF(P849="", "", VLOOKUP(P849, DanhSachCodeId, 3, FALSE))</f>
      </c>
    </row>
    <row r="850">
      <c r="A850" s="0">
        <f>IF(B850="", "", VLOOKUP(B850, DanhSachCodeId, 3, FALSE))</f>
      </c>
      <c r="C850" s="0">
        <f>IF(B850="", "", VLOOKUP(B850, DanhSachNhanVien, 2, FALSE))</f>
      </c>
      <c r="Q850" s="0">
        <f>IF(P850="", "", VLOOKUP(P850, DanhSachNhanVien, 2, FALSE))</f>
      </c>
      <c r="Z850" s="0">
        <f>IF(D850="", "", VLOOKUP(D850, DanhSachLoaiQuyetDinhRange, 2, FALSE))</f>
      </c>
      <c r="AA850" s="0">
        <f>IF(I850="", "", VLOOKUP(I850, DanhSachPhongBanRange, 2, FALSE))</f>
      </c>
      <c r="AB850" s="0">
        <f>IF(J850="", "", VLOOKUP(J850, DanhSachChucDanhRange, 2, FALSE))</f>
      </c>
      <c r="AC850" s="0">
        <f>IF(L850="", "", VLOOKUP(L850, ThangLuongData, 2, FALSE))</f>
      </c>
      <c r="AD850" s="0">
        <f>IF(M850="", "", VLOOKUP(M850, NgachLuongData, 2, FALSE))</f>
      </c>
      <c r="AE850" s="0">
        <f>IF(N850="", "", VLOOKUP(N850, BacLuongData, 2, FALSE))</f>
      </c>
      <c r="AF850" s="0">
        <f>IF(P850="", "", VLOOKUP(P850, DanhSachCodeId, 3, FALSE))</f>
      </c>
    </row>
    <row r="851">
      <c r="A851" s="0">
        <f>IF(B851="", "", VLOOKUP(B851, DanhSachCodeId, 3, FALSE))</f>
      </c>
      <c r="C851" s="0">
        <f>IF(B851="", "", VLOOKUP(B851, DanhSachNhanVien, 2, FALSE))</f>
      </c>
      <c r="Q851" s="0">
        <f>IF(P851="", "", VLOOKUP(P851, DanhSachNhanVien, 2, FALSE))</f>
      </c>
      <c r="Z851" s="0">
        <f>IF(D851="", "", VLOOKUP(D851, DanhSachLoaiQuyetDinhRange, 2, FALSE))</f>
      </c>
      <c r="AA851" s="0">
        <f>IF(I851="", "", VLOOKUP(I851, DanhSachPhongBanRange, 2, FALSE))</f>
      </c>
      <c r="AB851" s="0">
        <f>IF(J851="", "", VLOOKUP(J851, DanhSachChucDanhRange, 2, FALSE))</f>
      </c>
      <c r="AC851" s="0">
        <f>IF(L851="", "", VLOOKUP(L851, ThangLuongData, 2, FALSE))</f>
      </c>
      <c r="AD851" s="0">
        <f>IF(M851="", "", VLOOKUP(M851, NgachLuongData, 2, FALSE))</f>
      </c>
      <c r="AE851" s="0">
        <f>IF(N851="", "", VLOOKUP(N851, BacLuongData, 2, FALSE))</f>
      </c>
      <c r="AF851" s="0">
        <f>IF(P851="", "", VLOOKUP(P851, DanhSachCodeId, 3, FALSE))</f>
      </c>
    </row>
    <row r="852">
      <c r="A852" s="0">
        <f>IF(B852="", "", VLOOKUP(B852, DanhSachCodeId, 3, FALSE))</f>
      </c>
      <c r="C852" s="0">
        <f>IF(B852="", "", VLOOKUP(B852, DanhSachNhanVien, 2, FALSE))</f>
      </c>
      <c r="Q852" s="0">
        <f>IF(P852="", "", VLOOKUP(P852, DanhSachNhanVien, 2, FALSE))</f>
      </c>
      <c r="Z852" s="0">
        <f>IF(D852="", "", VLOOKUP(D852, DanhSachLoaiQuyetDinhRange, 2, FALSE))</f>
      </c>
      <c r="AA852" s="0">
        <f>IF(I852="", "", VLOOKUP(I852, DanhSachPhongBanRange, 2, FALSE))</f>
      </c>
      <c r="AB852" s="0">
        <f>IF(J852="", "", VLOOKUP(J852, DanhSachChucDanhRange, 2, FALSE))</f>
      </c>
      <c r="AC852" s="0">
        <f>IF(L852="", "", VLOOKUP(L852, ThangLuongData, 2, FALSE))</f>
      </c>
      <c r="AD852" s="0">
        <f>IF(M852="", "", VLOOKUP(M852, NgachLuongData, 2, FALSE))</f>
      </c>
      <c r="AE852" s="0">
        <f>IF(N852="", "", VLOOKUP(N852, BacLuongData, 2, FALSE))</f>
      </c>
      <c r="AF852" s="0">
        <f>IF(P852="", "", VLOOKUP(P852, DanhSachCodeId, 3, FALSE))</f>
      </c>
    </row>
    <row r="853">
      <c r="A853" s="0">
        <f>IF(B853="", "", VLOOKUP(B853, DanhSachCodeId, 3, FALSE))</f>
      </c>
      <c r="C853" s="0">
        <f>IF(B853="", "", VLOOKUP(B853, DanhSachNhanVien, 2, FALSE))</f>
      </c>
      <c r="Q853" s="0">
        <f>IF(P853="", "", VLOOKUP(P853, DanhSachNhanVien, 2, FALSE))</f>
      </c>
      <c r="Z853" s="0">
        <f>IF(D853="", "", VLOOKUP(D853, DanhSachLoaiQuyetDinhRange, 2, FALSE))</f>
      </c>
      <c r="AA853" s="0">
        <f>IF(I853="", "", VLOOKUP(I853, DanhSachPhongBanRange, 2, FALSE))</f>
      </c>
      <c r="AB853" s="0">
        <f>IF(J853="", "", VLOOKUP(J853, DanhSachChucDanhRange, 2, FALSE))</f>
      </c>
      <c r="AC853" s="0">
        <f>IF(L853="", "", VLOOKUP(L853, ThangLuongData, 2, FALSE))</f>
      </c>
      <c r="AD853" s="0">
        <f>IF(M853="", "", VLOOKUP(M853, NgachLuongData, 2, FALSE))</f>
      </c>
      <c r="AE853" s="0">
        <f>IF(N853="", "", VLOOKUP(N853, BacLuongData, 2, FALSE))</f>
      </c>
      <c r="AF853" s="0">
        <f>IF(P853="", "", VLOOKUP(P853, DanhSachCodeId, 3, FALSE))</f>
      </c>
    </row>
    <row r="854">
      <c r="A854" s="0">
        <f>IF(B854="", "", VLOOKUP(B854, DanhSachCodeId, 3, FALSE))</f>
      </c>
      <c r="C854" s="0">
        <f>IF(B854="", "", VLOOKUP(B854, DanhSachNhanVien, 2, FALSE))</f>
      </c>
      <c r="Q854" s="0">
        <f>IF(P854="", "", VLOOKUP(P854, DanhSachNhanVien, 2, FALSE))</f>
      </c>
      <c r="Z854" s="0">
        <f>IF(D854="", "", VLOOKUP(D854, DanhSachLoaiQuyetDinhRange, 2, FALSE))</f>
      </c>
      <c r="AA854" s="0">
        <f>IF(I854="", "", VLOOKUP(I854, DanhSachPhongBanRange, 2, FALSE))</f>
      </c>
      <c r="AB854" s="0">
        <f>IF(J854="", "", VLOOKUP(J854, DanhSachChucDanhRange, 2, FALSE))</f>
      </c>
      <c r="AC854" s="0">
        <f>IF(L854="", "", VLOOKUP(L854, ThangLuongData, 2, FALSE))</f>
      </c>
      <c r="AD854" s="0">
        <f>IF(M854="", "", VLOOKUP(M854, NgachLuongData, 2, FALSE))</f>
      </c>
      <c r="AE854" s="0">
        <f>IF(N854="", "", VLOOKUP(N854, BacLuongData, 2, FALSE))</f>
      </c>
      <c r="AF854" s="0">
        <f>IF(P854="", "", VLOOKUP(P854, DanhSachCodeId, 3, FALSE))</f>
      </c>
    </row>
    <row r="855">
      <c r="A855" s="0">
        <f>IF(B855="", "", VLOOKUP(B855, DanhSachCodeId, 3, FALSE))</f>
      </c>
      <c r="C855" s="0">
        <f>IF(B855="", "", VLOOKUP(B855, DanhSachNhanVien, 2, FALSE))</f>
      </c>
      <c r="Q855" s="0">
        <f>IF(P855="", "", VLOOKUP(P855, DanhSachNhanVien, 2, FALSE))</f>
      </c>
      <c r="Z855" s="0">
        <f>IF(D855="", "", VLOOKUP(D855, DanhSachLoaiQuyetDinhRange, 2, FALSE))</f>
      </c>
      <c r="AA855" s="0">
        <f>IF(I855="", "", VLOOKUP(I855, DanhSachPhongBanRange, 2, FALSE))</f>
      </c>
      <c r="AB855" s="0">
        <f>IF(J855="", "", VLOOKUP(J855, DanhSachChucDanhRange, 2, FALSE))</f>
      </c>
      <c r="AC855" s="0">
        <f>IF(L855="", "", VLOOKUP(L855, ThangLuongData, 2, FALSE))</f>
      </c>
      <c r="AD855" s="0">
        <f>IF(M855="", "", VLOOKUP(M855, NgachLuongData, 2, FALSE))</f>
      </c>
      <c r="AE855" s="0">
        <f>IF(N855="", "", VLOOKUP(N855, BacLuongData, 2, FALSE))</f>
      </c>
      <c r="AF855" s="0">
        <f>IF(P855="", "", VLOOKUP(P855, DanhSachCodeId, 3, FALSE))</f>
      </c>
    </row>
    <row r="856">
      <c r="A856" s="0">
        <f>IF(B856="", "", VLOOKUP(B856, DanhSachCodeId, 3, FALSE))</f>
      </c>
      <c r="C856" s="0">
        <f>IF(B856="", "", VLOOKUP(B856, DanhSachNhanVien, 2, FALSE))</f>
      </c>
      <c r="Q856" s="0">
        <f>IF(P856="", "", VLOOKUP(P856, DanhSachNhanVien, 2, FALSE))</f>
      </c>
      <c r="Z856" s="0">
        <f>IF(D856="", "", VLOOKUP(D856, DanhSachLoaiQuyetDinhRange, 2, FALSE))</f>
      </c>
      <c r="AA856" s="0">
        <f>IF(I856="", "", VLOOKUP(I856, DanhSachPhongBanRange, 2, FALSE))</f>
      </c>
      <c r="AB856" s="0">
        <f>IF(J856="", "", VLOOKUP(J856, DanhSachChucDanhRange, 2, FALSE))</f>
      </c>
      <c r="AC856" s="0">
        <f>IF(L856="", "", VLOOKUP(L856, ThangLuongData, 2, FALSE))</f>
      </c>
      <c r="AD856" s="0">
        <f>IF(M856="", "", VLOOKUP(M856, NgachLuongData, 2, FALSE))</f>
      </c>
      <c r="AE856" s="0">
        <f>IF(N856="", "", VLOOKUP(N856, BacLuongData, 2, FALSE))</f>
      </c>
      <c r="AF856" s="0">
        <f>IF(P856="", "", VLOOKUP(P856, DanhSachCodeId, 3, FALSE))</f>
      </c>
    </row>
    <row r="857">
      <c r="A857" s="0">
        <f>IF(B857="", "", VLOOKUP(B857, DanhSachCodeId, 3, FALSE))</f>
      </c>
      <c r="C857" s="0">
        <f>IF(B857="", "", VLOOKUP(B857, DanhSachNhanVien, 2, FALSE))</f>
      </c>
      <c r="Q857" s="0">
        <f>IF(P857="", "", VLOOKUP(P857, DanhSachNhanVien, 2, FALSE))</f>
      </c>
      <c r="Z857" s="0">
        <f>IF(D857="", "", VLOOKUP(D857, DanhSachLoaiQuyetDinhRange, 2, FALSE))</f>
      </c>
      <c r="AA857" s="0">
        <f>IF(I857="", "", VLOOKUP(I857, DanhSachPhongBanRange, 2, FALSE))</f>
      </c>
      <c r="AB857" s="0">
        <f>IF(J857="", "", VLOOKUP(J857, DanhSachChucDanhRange, 2, FALSE))</f>
      </c>
      <c r="AC857" s="0">
        <f>IF(L857="", "", VLOOKUP(L857, ThangLuongData, 2, FALSE))</f>
      </c>
      <c r="AD857" s="0">
        <f>IF(M857="", "", VLOOKUP(M857, NgachLuongData, 2, FALSE))</f>
      </c>
      <c r="AE857" s="0">
        <f>IF(N857="", "", VLOOKUP(N857, BacLuongData, 2, FALSE))</f>
      </c>
      <c r="AF857" s="0">
        <f>IF(P857="", "", VLOOKUP(P857, DanhSachCodeId, 3, FALSE))</f>
      </c>
    </row>
    <row r="858">
      <c r="A858" s="0">
        <f>IF(B858="", "", VLOOKUP(B858, DanhSachCodeId, 3, FALSE))</f>
      </c>
      <c r="C858" s="0">
        <f>IF(B858="", "", VLOOKUP(B858, DanhSachNhanVien, 2, FALSE))</f>
      </c>
      <c r="Q858" s="0">
        <f>IF(P858="", "", VLOOKUP(P858, DanhSachNhanVien, 2, FALSE))</f>
      </c>
      <c r="Z858" s="0">
        <f>IF(D858="", "", VLOOKUP(D858, DanhSachLoaiQuyetDinhRange, 2, FALSE))</f>
      </c>
      <c r="AA858" s="0">
        <f>IF(I858="", "", VLOOKUP(I858, DanhSachPhongBanRange, 2, FALSE))</f>
      </c>
      <c r="AB858" s="0">
        <f>IF(J858="", "", VLOOKUP(J858, DanhSachChucDanhRange, 2, FALSE))</f>
      </c>
      <c r="AC858" s="0">
        <f>IF(L858="", "", VLOOKUP(L858, ThangLuongData, 2, FALSE))</f>
      </c>
      <c r="AD858" s="0">
        <f>IF(M858="", "", VLOOKUP(M858, NgachLuongData, 2, FALSE))</f>
      </c>
      <c r="AE858" s="0">
        <f>IF(N858="", "", VLOOKUP(N858, BacLuongData, 2, FALSE))</f>
      </c>
      <c r="AF858" s="0">
        <f>IF(P858="", "", VLOOKUP(P858, DanhSachCodeId, 3, FALSE))</f>
      </c>
    </row>
    <row r="859">
      <c r="A859" s="0">
        <f>IF(B859="", "", VLOOKUP(B859, DanhSachCodeId, 3, FALSE))</f>
      </c>
      <c r="C859" s="0">
        <f>IF(B859="", "", VLOOKUP(B859, DanhSachNhanVien, 2, FALSE))</f>
      </c>
      <c r="Q859" s="0">
        <f>IF(P859="", "", VLOOKUP(P859, DanhSachNhanVien, 2, FALSE))</f>
      </c>
      <c r="Z859" s="0">
        <f>IF(D859="", "", VLOOKUP(D859, DanhSachLoaiQuyetDinhRange, 2, FALSE))</f>
      </c>
      <c r="AA859" s="0">
        <f>IF(I859="", "", VLOOKUP(I859, DanhSachPhongBanRange, 2, FALSE))</f>
      </c>
      <c r="AB859" s="0">
        <f>IF(J859="", "", VLOOKUP(J859, DanhSachChucDanhRange, 2, FALSE))</f>
      </c>
      <c r="AC859" s="0">
        <f>IF(L859="", "", VLOOKUP(L859, ThangLuongData, 2, FALSE))</f>
      </c>
      <c r="AD859" s="0">
        <f>IF(M859="", "", VLOOKUP(M859, NgachLuongData, 2, FALSE))</f>
      </c>
      <c r="AE859" s="0">
        <f>IF(N859="", "", VLOOKUP(N859, BacLuongData, 2, FALSE))</f>
      </c>
      <c r="AF859" s="0">
        <f>IF(P859="", "", VLOOKUP(P859, DanhSachCodeId, 3, FALSE))</f>
      </c>
    </row>
    <row r="860">
      <c r="A860" s="0">
        <f>IF(B860="", "", VLOOKUP(B860, DanhSachCodeId, 3, FALSE))</f>
      </c>
      <c r="C860" s="0">
        <f>IF(B860="", "", VLOOKUP(B860, DanhSachNhanVien, 2, FALSE))</f>
      </c>
      <c r="Q860" s="0">
        <f>IF(P860="", "", VLOOKUP(P860, DanhSachNhanVien, 2, FALSE))</f>
      </c>
      <c r="Z860" s="0">
        <f>IF(D860="", "", VLOOKUP(D860, DanhSachLoaiQuyetDinhRange, 2, FALSE))</f>
      </c>
      <c r="AA860" s="0">
        <f>IF(I860="", "", VLOOKUP(I860, DanhSachPhongBanRange, 2, FALSE))</f>
      </c>
      <c r="AB860" s="0">
        <f>IF(J860="", "", VLOOKUP(J860, DanhSachChucDanhRange, 2, FALSE))</f>
      </c>
      <c r="AC860" s="0">
        <f>IF(L860="", "", VLOOKUP(L860, ThangLuongData, 2, FALSE))</f>
      </c>
      <c r="AD860" s="0">
        <f>IF(M860="", "", VLOOKUP(M860, NgachLuongData, 2, FALSE))</f>
      </c>
      <c r="AE860" s="0">
        <f>IF(N860="", "", VLOOKUP(N860, BacLuongData, 2, FALSE))</f>
      </c>
      <c r="AF860" s="0">
        <f>IF(P860="", "", VLOOKUP(P860, DanhSachCodeId, 3, FALSE))</f>
      </c>
    </row>
    <row r="861">
      <c r="A861" s="0">
        <f>IF(B861="", "", VLOOKUP(B861, DanhSachCodeId, 3, FALSE))</f>
      </c>
      <c r="C861" s="0">
        <f>IF(B861="", "", VLOOKUP(B861, DanhSachNhanVien, 2, FALSE))</f>
      </c>
      <c r="Q861" s="0">
        <f>IF(P861="", "", VLOOKUP(P861, DanhSachNhanVien, 2, FALSE))</f>
      </c>
      <c r="Z861" s="0">
        <f>IF(D861="", "", VLOOKUP(D861, DanhSachLoaiQuyetDinhRange, 2, FALSE))</f>
      </c>
      <c r="AA861" s="0">
        <f>IF(I861="", "", VLOOKUP(I861, DanhSachPhongBanRange, 2, FALSE))</f>
      </c>
      <c r="AB861" s="0">
        <f>IF(J861="", "", VLOOKUP(J861, DanhSachChucDanhRange, 2, FALSE))</f>
      </c>
      <c r="AC861" s="0">
        <f>IF(L861="", "", VLOOKUP(L861, ThangLuongData, 2, FALSE))</f>
      </c>
      <c r="AD861" s="0">
        <f>IF(M861="", "", VLOOKUP(M861, NgachLuongData, 2, FALSE))</f>
      </c>
      <c r="AE861" s="0">
        <f>IF(N861="", "", VLOOKUP(N861, BacLuongData, 2, FALSE))</f>
      </c>
      <c r="AF861" s="0">
        <f>IF(P861="", "", VLOOKUP(P861, DanhSachCodeId, 3, FALSE))</f>
      </c>
    </row>
    <row r="862">
      <c r="A862" s="0">
        <f>IF(B862="", "", VLOOKUP(B862, DanhSachCodeId, 3, FALSE))</f>
      </c>
      <c r="C862" s="0">
        <f>IF(B862="", "", VLOOKUP(B862, DanhSachNhanVien, 2, FALSE))</f>
      </c>
      <c r="Q862" s="0">
        <f>IF(P862="", "", VLOOKUP(P862, DanhSachNhanVien, 2, FALSE))</f>
      </c>
      <c r="Z862" s="0">
        <f>IF(D862="", "", VLOOKUP(D862, DanhSachLoaiQuyetDinhRange, 2, FALSE))</f>
      </c>
      <c r="AA862" s="0">
        <f>IF(I862="", "", VLOOKUP(I862, DanhSachPhongBanRange, 2, FALSE))</f>
      </c>
      <c r="AB862" s="0">
        <f>IF(J862="", "", VLOOKUP(J862, DanhSachChucDanhRange, 2, FALSE))</f>
      </c>
      <c r="AC862" s="0">
        <f>IF(L862="", "", VLOOKUP(L862, ThangLuongData, 2, FALSE))</f>
      </c>
      <c r="AD862" s="0">
        <f>IF(M862="", "", VLOOKUP(M862, NgachLuongData, 2, FALSE))</f>
      </c>
      <c r="AE862" s="0">
        <f>IF(N862="", "", VLOOKUP(N862, BacLuongData, 2, FALSE))</f>
      </c>
      <c r="AF862" s="0">
        <f>IF(P862="", "", VLOOKUP(P862, DanhSachCodeId, 3, FALSE))</f>
      </c>
    </row>
    <row r="863">
      <c r="A863" s="0">
        <f>IF(B863="", "", VLOOKUP(B863, DanhSachCodeId, 3, FALSE))</f>
      </c>
      <c r="C863" s="0">
        <f>IF(B863="", "", VLOOKUP(B863, DanhSachNhanVien, 2, FALSE))</f>
      </c>
      <c r="Q863" s="0">
        <f>IF(P863="", "", VLOOKUP(P863, DanhSachNhanVien, 2, FALSE))</f>
      </c>
      <c r="Z863" s="0">
        <f>IF(D863="", "", VLOOKUP(D863, DanhSachLoaiQuyetDinhRange, 2, FALSE))</f>
      </c>
      <c r="AA863" s="0">
        <f>IF(I863="", "", VLOOKUP(I863, DanhSachPhongBanRange, 2, FALSE))</f>
      </c>
      <c r="AB863" s="0">
        <f>IF(J863="", "", VLOOKUP(J863, DanhSachChucDanhRange, 2, FALSE))</f>
      </c>
      <c r="AC863" s="0">
        <f>IF(L863="", "", VLOOKUP(L863, ThangLuongData, 2, FALSE))</f>
      </c>
      <c r="AD863" s="0">
        <f>IF(M863="", "", VLOOKUP(M863, NgachLuongData, 2, FALSE))</f>
      </c>
      <c r="AE863" s="0">
        <f>IF(N863="", "", VLOOKUP(N863, BacLuongData, 2, FALSE))</f>
      </c>
      <c r="AF863" s="0">
        <f>IF(P863="", "", VLOOKUP(P863, DanhSachCodeId, 3, FALSE))</f>
      </c>
    </row>
    <row r="864">
      <c r="A864" s="0">
        <f>IF(B864="", "", VLOOKUP(B864, DanhSachCodeId, 3, FALSE))</f>
      </c>
      <c r="C864" s="0">
        <f>IF(B864="", "", VLOOKUP(B864, DanhSachNhanVien, 2, FALSE))</f>
      </c>
      <c r="Q864" s="0">
        <f>IF(P864="", "", VLOOKUP(P864, DanhSachNhanVien, 2, FALSE))</f>
      </c>
      <c r="Z864" s="0">
        <f>IF(D864="", "", VLOOKUP(D864, DanhSachLoaiQuyetDinhRange, 2, FALSE))</f>
      </c>
      <c r="AA864" s="0">
        <f>IF(I864="", "", VLOOKUP(I864, DanhSachPhongBanRange, 2, FALSE))</f>
      </c>
      <c r="AB864" s="0">
        <f>IF(J864="", "", VLOOKUP(J864, DanhSachChucDanhRange, 2, FALSE))</f>
      </c>
      <c r="AC864" s="0">
        <f>IF(L864="", "", VLOOKUP(L864, ThangLuongData, 2, FALSE))</f>
      </c>
      <c r="AD864" s="0">
        <f>IF(M864="", "", VLOOKUP(M864, NgachLuongData, 2, FALSE))</f>
      </c>
      <c r="AE864" s="0">
        <f>IF(N864="", "", VLOOKUP(N864, BacLuongData, 2, FALSE))</f>
      </c>
      <c r="AF864" s="0">
        <f>IF(P864="", "", VLOOKUP(P864, DanhSachCodeId, 3, FALSE))</f>
      </c>
    </row>
    <row r="865">
      <c r="A865" s="0">
        <f>IF(B865="", "", VLOOKUP(B865, DanhSachCodeId, 3, FALSE))</f>
      </c>
      <c r="C865" s="0">
        <f>IF(B865="", "", VLOOKUP(B865, DanhSachNhanVien, 2, FALSE))</f>
      </c>
      <c r="Q865" s="0">
        <f>IF(P865="", "", VLOOKUP(P865, DanhSachNhanVien, 2, FALSE))</f>
      </c>
      <c r="Z865" s="0">
        <f>IF(D865="", "", VLOOKUP(D865, DanhSachLoaiQuyetDinhRange, 2, FALSE))</f>
      </c>
      <c r="AA865" s="0">
        <f>IF(I865="", "", VLOOKUP(I865, DanhSachPhongBanRange, 2, FALSE))</f>
      </c>
      <c r="AB865" s="0">
        <f>IF(J865="", "", VLOOKUP(J865, DanhSachChucDanhRange, 2, FALSE))</f>
      </c>
      <c r="AC865" s="0">
        <f>IF(L865="", "", VLOOKUP(L865, ThangLuongData, 2, FALSE))</f>
      </c>
      <c r="AD865" s="0">
        <f>IF(M865="", "", VLOOKUP(M865, NgachLuongData, 2, FALSE))</f>
      </c>
      <c r="AE865" s="0">
        <f>IF(N865="", "", VLOOKUP(N865, BacLuongData, 2, FALSE))</f>
      </c>
      <c r="AF865" s="0">
        <f>IF(P865="", "", VLOOKUP(P865, DanhSachCodeId, 3, FALSE))</f>
      </c>
    </row>
    <row r="866">
      <c r="A866" s="0">
        <f>IF(B866="", "", VLOOKUP(B866, DanhSachCodeId, 3, FALSE))</f>
      </c>
      <c r="C866" s="0">
        <f>IF(B866="", "", VLOOKUP(B866, DanhSachNhanVien, 2, FALSE))</f>
      </c>
      <c r="Q866" s="0">
        <f>IF(P866="", "", VLOOKUP(P866, DanhSachNhanVien, 2, FALSE))</f>
      </c>
      <c r="Z866" s="0">
        <f>IF(D866="", "", VLOOKUP(D866, DanhSachLoaiQuyetDinhRange, 2, FALSE))</f>
      </c>
      <c r="AA866" s="0">
        <f>IF(I866="", "", VLOOKUP(I866, DanhSachPhongBanRange, 2, FALSE))</f>
      </c>
      <c r="AB866" s="0">
        <f>IF(J866="", "", VLOOKUP(J866, DanhSachChucDanhRange, 2, FALSE))</f>
      </c>
      <c r="AC866" s="0">
        <f>IF(L866="", "", VLOOKUP(L866, ThangLuongData, 2, FALSE))</f>
      </c>
      <c r="AD866" s="0">
        <f>IF(M866="", "", VLOOKUP(M866, NgachLuongData, 2, FALSE))</f>
      </c>
      <c r="AE866" s="0">
        <f>IF(N866="", "", VLOOKUP(N866, BacLuongData, 2, FALSE))</f>
      </c>
      <c r="AF866" s="0">
        <f>IF(P866="", "", VLOOKUP(P866, DanhSachCodeId, 3, FALSE))</f>
      </c>
    </row>
    <row r="867">
      <c r="A867" s="0">
        <f>IF(B867="", "", VLOOKUP(B867, DanhSachCodeId, 3, FALSE))</f>
      </c>
      <c r="C867" s="0">
        <f>IF(B867="", "", VLOOKUP(B867, DanhSachNhanVien, 2, FALSE))</f>
      </c>
      <c r="Q867" s="0">
        <f>IF(P867="", "", VLOOKUP(P867, DanhSachNhanVien, 2, FALSE))</f>
      </c>
      <c r="Z867" s="0">
        <f>IF(D867="", "", VLOOKUP(D867, DanhSachLoaiQuyetDinhRange, 2, FALSE))</f>
      </c>
      <c r="AA867" s="0">
        <f>IF(I867="", "", VLOOKUP(I867, DanhSachPhongBanRange, 2, FALSE))</f>
      </c>
      <c r="AB867" s="0">
        <f>IF(J867="", "", VLOOKUP(J867, DanhSachChucDanhRange, 2, FALSE))</f>
      </c>
      <c r="AC867" s="0">
        <f>IF(L867="", "", VLOOKUP(L867, ThangLuongData, 2, FALSE))</f>
      </c>
      <c r="AD867" s="0">
        <f>IF(M867="", "", VLOOKUP(M867, NgachLuongData, 2, FALSE))</f>
      </c>
      <c r="AE867" s="0">
        <f>IF(N867="", "", VLOOKUP(N867, BacLuongData, 2, FALSE))</f>
      </c>
      <c r="AF867" s="0">
        <f>IF(P867="", "", VLOOKUP(P867, DanhSachCodeId, 3, FALSE))</f>
      </c>
    </row>
    <row r="868">
      <c r="A868" s="0">
        <f>IF(B868="", "", VLOOKUP(B868, DanhSachCodeId, 3, FALSE))</f>
      </c>
      <c r="C868" s="0">
        <f>IF(B868="", "", VLOOKUP(B868, DanhSachNhanVien, 2, FALSE))</f>
      </c>
      <c r="Q868" s="0">
        <f>IF(P868="", "", VLOOKUP(P868, DanhSachNhanVien, 2, FALSE))</f>
      </c>
      <c r="Z868" s="0">
        <f>IF(D868="", "", VLOOKUP(D868, DanhSachLoaiQuyetDinhRange, 2, FALSE))</f>
      </c>
      <c r="AA868" s="0">
        <f>IF(I868="", "", VLOOKUP(I868, DanhSachPhongBanRange, 2, FALSE))</f>
      </c>
      <c r="AB868" s="0">
        <f>IF(J868="", "", VLOOKUP(J868, DanhSachChucDanhRange, 2, FALSE))</f>
      </c>
      <c r="AC868" s="0">
        <f>IF(L868="", "", VLOOKUP(L868, ThangLuongData, 2, FALSE))</f>
      </c>
      <c r="AD868" s="0">
        <f>IF(M868="", "", VLOOKUP(M868, NgachLuongData, 2, FALSE))</f>
      </c>
      <c r="AE868" s="0">
        <f>IF(N868="", "", VLOOKUP(N868, BacLuongData, 2, FALSE))</f>
      </c>
      <c r="AF868" s="0">
        <f>IF(P868="", "", VLOOKUP(P868, DanhSachCodeId, 3, FALSE))</f>
      </c>
    </row>
    <row r="869">
      <c r="A869" s="0">
        <f>IF(B869="", "", VLOOKUP(B869, DanhSachCodeId, 3, FALSE))</f>
      </c>
      <c r="C869" s="0">
        <f>IF(B869="", "", VLOOKUP(B869, DanhSachNhanVien, 2, FALSE))</f>
      </c>
      <c r="Q869" s="0">
        <f>IF(P869="", "", VLOOKUP(P869, DanhSachNhanVien, 2, FALSE))</f>
      </c>
      <c r="Z869" s="0">
        <f>IF(D869="", "", VLOOKUP(D869, DanhSachLoaiQuyetDinhRange, 2, FALSE))</f>
      </c>
      <c r="AA869" s="0">
        <f>IF(I869="", "", VLOOKUP(I869, DanhSachPhongBanRange, 2, FALSE))</f>
      </c>
      <c r="AB869" s="0">
        <f>IF(J869="", "", VLOOKUP(J869, DanhSachChucDanhRange, 2, FALSE))</f>
      </c>
      <c r="AC869" s="0">
        <f>IF(L869="", "", VLOOKUP(L869, ThangLuongData, 2, FALSE))</f>
      </c>
      <c r="AD869" s="0">
        <f>IF(M869="", "", VLOOKUP(M869, NgachLuongData, 2, FALSE))</f>
      </c>
      <c r="AE869" s="0">
        <f>IF(N869="", "", VLOOKUP(N869, BacLuongData, 2, FALSE))</f>
      </c>
      <c r="AF869" s="0">
        <f>IF(P869="", "", VLOOKUP(P869, DanhSachCodeId, 3, FALSE))</f>
      </c>
    </row>
    <row r="870">
      <c r="A870" s="0">
        <f>IF(B870="", "", VLOOKUP(B870, DanhSachCodeId, 3, FALSE))</f>
      </c>
      <c r="C870" s="0">
        <f>IF(B870="", "", VLOOKUP(B870, DanhSachNhanVien, 2, FALSE))</f>
      </c>
      <c r="Q870" s="0">
        <f>IF(P870="", "", VLOOKUP(P870, DanhSachNhanVien, 2, FALSE))</f>
      </c>
      <c r="Z870" s="0">
        <f>IF(D870="", "", VLOOKUP(D870, DanhSachLoaiQuyetDinhRange, 2, FALSE))</f>
      </c>
      <c r="AA870" s="0">
        <f>IF(I870="", "", VLOOKUP(I870, DanhSachPhongBanRange, 2, FALSE))</f>
      </c>
      <c r="AB870" s="0">
        <f>IF(J870="", "", VLOOKUP(J870, DanhSachChucDanhRange, 2, FALSE))</f>
      </c>
      <c r="AC870" s="0">
        <f>IF(L870="", "", VLOOKUP(L870, ThangLuongData, 2, FALSE))</f>
      </c>
      <c r="AD870" s="0">
        <f>IF(M870="", "", VLOOKUP(M870, NgachLuongData, 2, FALSE))</f>
      </c>
      <c r="AE870" s="0">
        <f>IF(N870="", "", VLOOKUP(N870, BacLuongData, 2, FALSE))</f>
      </c>
      <c r="AF870" s="0">
        <f>IF(P870="", "", VLOOKUP(P870, DanhSachCodeId, 3, FALSE))</f>
      </c>
    </row>
    <row r="871">
      <c r="A871" s="0">
        <f>IF(B871="", "", VLOOKUP(B871, DanhSachCodeId, 3, FALSE))</f>
      </c>
      <c r="C871" s="0">
        <f>IF(B871="", "", VLOOKUP(B871, DanhSachNhanVien, 2, FALSE))</f>
      </c>
      <c r="Q871" s="0">
        <f>IF(P871="", "", VLOOKUP(P871, DanhSachNhanVien, 2, FALSE))</f>
      </c>
      <c r="Z871" s="0">
        <f>IF(D871="", "", VLOOKUP(D871, DanhSachLoaiQuyetDinhRange, 2, FALSE))</f>
      </c>
      <c r="AA871" s="0">
        <f>IF(I871="", "", VLOOKUP(I871, DanhSachPhongBanRange, 2, FALSE))</f>
      </c>
      <c r="AB871" s="0">
        <f>IF(J871="", "", VLOOKUP(J871, DanhSachChucDanhRange, 2, FALSE))</f>
      </c>
      <c r="AC871" s="0">
        <f>IF(L871="", "", VLOOKUP(L871, ThangLuongData, 2, FALSE))</f>
      </c>
      <c r="AD871" s="0">
        <f>IF(M871="", "", VLOOKUP(M871, NgachLuongData, 2, FALSE))</f>
      </c>
      <c r="AE871" s="0">
        <f>IF(N871="", "", VLOOKUP(N871, BacLuongData, 2, FALSE))</f>
      </c>
      <c r="AF871" s="0">
        <f>IF(P871="", "", VLOOKUP(P871, DanhSachCodeId, 3, FALSE))</f>
      </c>
    </row>
    <row r="872">
      <c r="A872" s="0">
        <f>IF(B872="", "", VLOOKUP(B872, DanhSachCodeId, 3, FALSE))</f>
      </c>
      <c r="C872" s="0">
        <f>IF(B872="", "", VLOOKUP(B872, DanhSachNhanVien, 2, FALSE))</f>
      </c>
      <c r="Q872" s="0">
        <f>IF(P872="", "", VLOOKUP(P872, DanhSachNhanVien, 2, FALSE))</f>
      </c>
      <c r="Z872" s="0">
        <f>IF(D872="", "", VLOOKUP(D872, DanhSachLoaiQuyetDinhRange, 2, FALSE))</f>
      </c>
      <c r="AA872" s="0">
        <f>IF(I872="", "", VLOOKUP(I872, DanhSachPhongBanRange, 2, FALSE))</f>
      </c>
      <c r="AB872" s="0">
        <f>IF(J872="", "", VLOOKUP(J872, DanhSachChucDanhRange, 2, FALSE))</f>
      </c>
      <c r="AC872" s="0">
        <f>IF(L872="", "", VLOOKUP(L872, ThangLuongData, 2, FALSE))</f>
      </c>
      <c r="AD872" s="0">
        <f>IF(M872="", "", VLOOKUP(M872, NgachLuongData, 2, FALSE))</f>
      </c>
      <c r="AE872" s="0">
        <f>IF(N872="", "", VLOOKUP(N872, BacLuongData, 2, FALSE))</f>
      </c>
      <c r="AF872" s="0">
        <f>IF(P872="", "", VLOOKUP(P872, DanhSachCodeId, 3, FALSE))</f>
      </c>
    </row>
    <row r="873">
      <c r="A873" s="0">
        <f>IF(B873="", "", VLOOKUP(B873, DanhSachCodeId, 3, FALSE))</f>
      </c>
      <c r="C873" s="0">
        <f>IF(B873="", "", VLOOKUP(B873, DanhSachNhanVien, 2, FALSE))</f>
      </c>
      <c r="Q873" s="0">
        <f>IF(P873="", "", VLOOKUP(P873, DanhSachNhanVien, 2, FALSE))</f>
      </c>
      <c r="Z873" s="0">
        <f>IF(D873="", "", VLOOKUP(D873, DanhSachLoaiQuyetDinhRange, 2, FALSE))</f>
      </c>
      <c r="AA873" s="0">
        <f>IF(I873="", "", VLOOKUP(I873, DanhSachPhongBanRange, 2, FALSE))</f>
      </c>
      <c r="AB873" s="0">
        <f>IF(J873="", "", VLOOKUP(J873, DanhSachChucDanhRange, 2, FALSE))</f>
      </c>
      <c r="AC873" s="0">
        <f>IF(L873="", "", VLOOKUP(L873, ThangLuongData, 2, FALSE))</f>
      </c>
      <c r="AD873" s="0">
        <f>IF(M873="", "", VLOOKUP(M873, NgachLuongData, 2, FALSE))</f>
      </c>
      <c r="AE873" s="0">
        <f>IF(N873="", "", VLOOKUP(N873, BacLuongData, 2, FALSE))</f>
      </c>
      <c r="AF873" s="0">
        <f>IF(P873="", "", VLOOKUP(P873, DanhSachCodeId, 3, FALSE))</f>
      </c>
    </row>
    <row r="874">
      <c r="A874" s="0">
        <f>IF(B874="", "", VLOOKUP(B874, DanhSachCodeId, 3, FALSE))</f>
      </c>
      <c r="C874" s="0">
        <f>IF(B874="", "", VLOOKUP(B874, DanhSachNhanVien, 2, FALSE))</f>
      </c>
      <c r="Q874" s="0">
        <f>IF(P874="", "", VLOOKUP(P874, DanhSachNhanVien, 2, FALSE))</f>
      </c>
      <c r="Z874" s="0">
        <f>IF(D874="", "", VLOOKUP(D874, DanhSachLoaiQuyetDinhRange, 2, FALSE))</f>
      </c>
      <c r="AA874" s="0">
        <f>IF(I874="", "", VLOOKUP(I874, DanhSachPhongBanRange, 2, FALSE))</f>
      </c>
      <c r="AB874" s="0">
        <f>IF(J874="", "", VLOOKUP(J874, DanhSachChucDanhRange, 2, FALSE))</f>
      </c>
      <c r="AC874" s="0">
        <f>IF(L874="", "", VLOOKUP(L874, ThangLuongData, 2, FALSE))</f>
      </c>
      <c r="AD874" s="0">
        <f>IF(M874="", "", VLOOKUP(M874, NgachLuongData, 2, FALSE))</f>
      </c>
      <c r="AE874" s="0">
        <f>IF(N874="", "", VLOOKUP(N874, BacLuongData, 2, FALSE))</f>
      </c>
      <c r="AF874" s="0">
        <f>IF(P874="", "", VLOOKUP(P874, DanhSachCodeId, 3, FALSE))</f>
      </c>
    </row>
    <row r="875">
      <c r="A875" s="0">
        <f>IF(B875="", "", VLOOKUP(B875, DanhSachCodeId, 3, FALSE))</f>
      </c>
      <c r="C875" s="0">
        <f>IF(B875="", "", VLOOKUP(B875, DanhSachNhanVien, 2, FALSE))</f>
      </c>
      <c r="Q875" s="0">
        <f>IF(P875="", "", VLOOKUP(P875, DanhSachNhanVien, 2, FALSE))</f>
      </c>
      <c r="Z875" s="0">
        <f>IF(D875="", "", VLOOKUP(D875, DanhSachLoaiQuyetDinhRange, 2, FALSE))</f>
      </c>
      <c r="AA875" s="0">
        <f>IF(I875="", "", VLOOKUP(I875, DanhSachPhongBanRange, 2, FALSE))</f>
      </c>
      <c r="AB875" s="0">
        <f>IF(J875="", "", VLOOKUP(J875, DanhSachChucDanhRange, 2, FALSE))</f>
      </c>
      <c r="AC875" s="0">
        <f>IF(L875="", "", VLOOKUP(L875, ThangLuongData, 2, FALSE))</f>
      </c>
      <c r="AD875" s="0">
        <f>IF(M875="", "", VLOOKUP(M875, NgachLuongData, 2, FALSE))</f>
      </c>
      <c r="AE875" s="0">
        <f>IF(N875="", "", VLOOKUP(N875, BacLuongData, 2, FALSE))</f>
      </c>
      <c r="AF875" s="0">
        <f>IF(P875="", "", VLOOKUP(P875, DanhSachCodeId, 3, FALSE))</f>
      </c>
    </row>
    <row r="876">
      <c r="A876" s="0">
        <f>IF(B876="", "", VLOOKUP(B876, DanhSachCodeId, 3, FALSE))</f>
      </c>
      <c r="C876" s="0">
        <f>IF(B876="", "", VLOOKUP(B876, DanhSachNhanVien, 2, FALSE))</f>
      </c>
      <c r="Q876" s="0">
        <f>IF(P876="", "", VLOOKUP(P876, DanhSachNhanVien, 2, FALSE))</f>
      </c>
      <c r="Z876" s="0">
        <f>IF(D876="", "", VLOOKUP(D876, DanhSachLoaiQuyetDinhRange, 2, FALSE))</f>
      </c>
      <c r="AA876" s="0">
        <f>IF(I876="", "", VLOOKUP(I876, DanhSachPhongBanRange, 2, FALSE))</f>
      </c>
      <c r="AB876" s="0">
        <f>IF(J876="", "", VLOOKUP(J876, DanhSachChucDanhRange, 2, FALSE))</f>
      </c>
      <c r="AC876" s="0">
        <f>IF(L876="", "", VLOOKUP(L876, ThangLuongData, 2, FALSE))</f>
      </c>
      <c r="AD876" s="0">
        <f>IF(M876="", "", VLOOKUP(M876, NgachLuongData, 2, FALSE))</f>
      </c>
      <c r="AE876" s="0">
        <f>IF(N876="", "", VLOOKUP(N876, BacLuongData, 2, FALSE))</f>
      </c>
      <c r="AF876" s="0">
        <f>IF(P876="", "", VLOOKUP(P876, DanhSachCodeId, 3, FALSE))</f>
      </c>
    </row>
    <row r="877">
      <c r="A877" s="0">
        <f>IF(B877="", "", VLOOKUP(B877, DanhSachCodeId, 3, FALSE))</f>
      </c>
      <c r="C877" s="0">
        <f>IF(B877="", "", VLOOKUP(B877, DanhSachNhanVien, 2, FALSE))</f>
      </c>
      <c r="Q877" s="0">
        <f>IF(P877="", "", VLOOKUP(P877, DanhSachNhanVien, 2, FALSE))</f>
      </c>
      <c r="Z877" s="0">
        <f>IF(D877="", "", VLOOKUP(D877, DanhSachLoaiQuyetDinhRange, 2, FALSE))</f>
      </c>
      <c r="AA877" s="0">
        <f>IF(I877="", "", VLOOKUP(I877, DanhSachPhongBanRange, 2, FALSE))</f>
      </c>
      <c r="AB877" s="0">
        <f>IF(J877="", "", VLOOKUP(J877, DanhSachChucDanhRange, 2, FALSE))</f>
      </c>
      <c r="AC877" s="0">
        <f>IF(L877="", "", VLOOKUP(L877, ThangLuongData, 2, FALSE))</f>
      </c>
      <c r="AD877" s="0">
        <f>IF(M877="", "", VLOOKUP(M877, NgachLuongData, 2, FALSE))</f>
      </c>
      <c r="AE877" s="0">
        <f>IF(N877="", "", VLOOKUP(N877, BacLuongData, 2, FALSE))</f>
      </c>
      <c r="AF877" s="0">
        <f>IF(P877="", "", VLOOKUP(P877, DanhSachCodeId, 3, FALSE))</f>
      </c>
    </row>
    <row r="878">
      <c r="A878" s="0">
        <f>IF(B878="", "", VLOOKUP(B878, DanhSachCodeId, 3, FALSE))</f>
      </c>
      <c r="C878" s="0">
        <f>IF(B878="", "", VLOOKUP(B878, DanhSachNhanVien, 2, FALSE))</f>
      </c>
      <c r="Q878" s="0">
        <f>IF(P878="", "", VLOOKUP(P878, DanhSachNhanVien, 2, FALSE))</f>
      </c>
      <c r="Z878" s="0">
        <f>IF(D878="", "", VLOOKUP(D878, DanhSachLoaiQuyetDinhRange, 2, FALSE))</f>
      </c>
      <c r="AA878" s="0">
        <f>IF(I878="", "", VLOOKUP(I878, DanhSachPhongBanRange, 2, FALSE))</f>
      </c>
      <c r="AB878" s="0">
        <f>IF(J878="", "", VLOOKUP(J878, DanhSachChucDanhRange, 2, FALSE))</f>
      </c>
      <c r="AC878" s="0">
        <f>IF(L878="", "", VLOOKUP(L878, ThangLuongData, 2, FALSE))</f>
      </c>
      <c r="AD878" s="0">
        <f>IF(M878="", "", VLOOKUP(M878, NgachLuongData, 2, FALSE))</f>
      </c>
      <c r="AE878" s="0">
        <f>IF(N878="", "", VLOOKUP(N878, BacLuongData, 2, FALSE))</f>
      </c>
      <c r="AF878" s="0">
        <f>IF(P878="", "", VLOOKUP(P878, DanhSachCodeId, 3, FALSE))</f>
      </c>
    </row>
    <row r="879">
      <c r="A879" s="0">
        <f>IF(B879="", "", VLOOKUP(B879, DanhSachCodeId, 3, FALSE))</f>
      </c>
      <c r="C879" s="0">
        <f>IF(B879="", "", VLOOKUP(B879, DanhSachNhanVien, 2, FALSE))</f>
      </c>
      <c r="Q879" s="0">
        <f>IF(P879="", "", VLOOKUP(P879, DanhSachNhanVien, 2, FALSE))</f>
      </c>
      <c r="Z879" s="0">
        <f>IF(D879="", "", VLOOKUP(D879, DanhSachLoaiQuyetDinhRange, 2, FALSE))</f>
      </c>
      <c r="AA879" s="0">
        <f>IF(I879="", "", VLOOKUP(I879, DanhSachPhongBanRange, 2, FALSE))</f>
      </c>
      <c r="AB879" s="0">
        <f>IF(J879="", "", VLOOKUP(J879, DanhSachChucDanhRange, 2, FALSE))</f>
      </c>
      <c r="AC879" s="0">
        <f>IF(L879="", "", VLOOKUP(L879, ThangLuongData, 2, FALSE))</f>
      </c>
      <c r="AD879" s="0">
        <f>IF(M879="", "", VLOOKUP(M879, NgachLuongData, 2, FALSE))</f>
      </c>
      <c r="AE879" s="0">
        <f>IF(N879="", "", VLOOKUP(N879, BacLuongData, 2, FALSE))</f>
      </c>
      <c r="AF879" s="0">
        <f>IF(P879="", "", VLOOKUP(P879, DanhSachCodeId, 3, FALSE))</f>
      </c>
    </row>
    <row r="880">
      <c r="A880" s="0">
        <f>IF(B880="", "", VLOOKUP(B880, DanhSachCodeId, 3, FALSE))</f>
      </c>
      <c r="C880" s="0">
        <f>IF(B880="", "", VLOOKUP(B880, DanhSachNhanVien, 2, FALSE))</f>
      </c>
      <c r="Q880" s="0">
        <f>IF(P880="", "", VLOOKUP(P880, DanhSachNhanVien, 2, FALSE))</f>
      </c>
      <c r="Z880" s="0">
        <f>IF(D880="", "", VLOOKUP(D880, DanhSachLoaiQuyetDinhRange, 2, FALSE))</f>
      </c>
      <c r="AA880" s="0">
        <f>IF(I880="", "", VLOOKUP(I880, DanhSachPhongBanRange, 2, FALSE))</f>
      </c>
      <c r="AB880" s="0">
        <f>IF(J880="", "", VLOOKUP(J880, DanhSachChucDanhRange, 2, FALSE))</f>
      </c>
      <c r="AC880" s="0">
        <f>IF(L880="", "", VLOOKUP(L880, ThangLuongData, 2, FALSE))</f>
      </c>
      <c r="AD880" s="0">
        <f>IF(M880="", "", VLOOKUP(M880, NgachLuongData, 2, FALSE))</f>
      </c>
      <c r="AE880" s="0">
        <f>IF(N880="", "", VLOOKUP(N880, BacLuongData, 2, FALSE))</f>
      </c>
      <c r="AF880" s="0">
        <f>IF(P880="", "", VLOOKUP(P880, DanhSachCodeId, 3, FALSE))</f>
      </c>
    </row>
    <row r="881">
      <c r="A881" s="0">
        <f>IF(B881="", "", VLOOKUP(B881, DanhSachCodeId, 3, FALSE))</f>
      </c>
      <c r="C881" s="0">
        <f>IF(B881="", "", VLOOKUP(B881, DanhSachNhanVien, 2, FALSE))</f>
      </c>
      <c r="Q881" s="0">
        <f>IF(P881="", "", VLOOKUP(P881, DanhSachNhanVien, 2, FALSE))</f>
      </c>
      <c r="Z881" s="0">
        <f>IF(D881="", "", VLOOKUP(D881, DanhSachLoaiQuyetDinhRange, 2, FALSE))</f>
      </c>
      <c r="AA881" s="0">
        <f>IF(I881="", "", VLOOKUP(I881, DanhSachPhongBanRange, 2, FALSE))</f>
      </c>
      <c r="AB881" s="0">
        <f>IF(J881="", "", VLOOKUP(J881, DanhSachChucDanhRange, 2, FALSE))</f>
      </c>
      <c r="AC881" s="0">
        <f>IF(L881="", "", VLOOKUP(L881, ThangLuongData, 2, FALSE))</f>
      </c>
      <c r="AD881" s="0">
        <f>IF(M881="", "", VLOOKUP(M881, NgachLuongData, 2, FALSE))</f>
      </c>
      <c r="AE881" s="0">
        <f>IF(N881="", "", VLOOKUP(N881, BacLuongData, 2, FALSE))</f>
      </c>
      <c r="AF881" s="0">
        <f>IF(P881="", "", VLOOKUP(P881, DanhSachCodeId, 3, FALSE))</f>
      </c>
    </row>
    <row r="882">
      <c r="A882" s="0">
        <f>IF(B882="", "", VLOOKUP(B882, DanhSachCodeId, 3, FALSE))</f>
      </c>
      <c r="C882" s="0">
        <f>IF(B882="", "", VLOOKUP(B882, DanhSachNhanVien, 2, FALSE))</f>
      </c>
      <c r="Q882" s="0">
        <f>IF(P882="", "", VLOOKUP(P882, DanhSachNhanVien, 2, FALSE))</f>
      </c>
      <c r="Z882" s="0">
        <f>IF(D882="", "", VLOOKUP(D882, DanhSachLoaiQuyetDinhRange, 2, FALSE))</f>
      </c>
      <c r="AA882" s="0">
        <f>IF(I882="", "", VLOOKUP(I882, DanhSachPhongBanRange, 2, FALSE))</f>
      </c>
      <c r="AB882" s="0">
        <f>IF(J882="", "", VLOOKUP(J882, DanhSachChucDanhRange, 2, FALSE))</f>
      </c>
      <c r="AC882" s="0">
        <f>IF(L882="", "", VLOOKUP(L882, ThangLuongData, 2, FALSE))</f>
      </c>
      <c r="AD882" s="0">
        <f>IF(M882="", "", VLOOKUP(M882, NgachLuongData, 2, FALSE))</f>
      </c>
      <c r="AE882" s="0">
        <f>IF(N882="", "", VLOOKUP(N882, BacLuongData, 2, FALSE))</f>
      </c>
      <c r="AF882" s="0">
        <f>IF(P882="", "", VLOOKUP(P882, DanhSachCodeId, 3, FALSE))</f>
      </c>
    </row>
    <row r="883">
      <c r="A883" s="0">
        <f>IF(B883="", "", VLOOKUP(B883, DanhSachCodeId, 3, FALSE))</f>
      </c>
      <c r="C883" s="0">
        <f>IF(B883="", "", VLOOKUP(B883, DanhSachNhanVien, 2, FALSE))</f>
      </c>
      <c r="Q883" s="0">
        <f>IF(P883="", "", VLOOKUP(P883, DanhSachNhanVien, 2, FALSE))</f>
      </c>
      <c r="Z883" s="0">
        <f>IF(D883="", "", VLOOKUP(D883, DanhSachLoaiQuyetDinhRange, 2, FALSE))</f>
      </c>
      <c r="AA883" s="0">
        <f>IF(I883="", "", VLOOKUP(I883, DanhSachPhongBanRange, 2, FALSE))</f>
      </c>
      <c r="AB883" s="0">
        <f>IF(J883="", "", VLOOKUP(J883, DanhSachChucDanhRange, 2, FALSE))</f>
      </c>
      <c r="AC883" s="0">
        <f>IF(L883="", "", VLOOKUP(L883, ThangLuongData, 2, FALSE))</f>
      </c>
      <c r="AD883" s="0">
        <f>IF(M883="", "", VLOOKUP(M883, NgachLuongData, 2, FALSE))</f>
      </c>
      <c r="AE883" s="0">
        <f>IF(N883="", "", VLOOKUP(N883, BacLuongData, 2, FALSE))</f>
      </c>
      <c r="AF883" s="0">
        <f>IF(P883="", "", VLOOKUP(P883, DanhSachCodeId, 3, FALSE))</f>
      </c>
    </row>
    <row r="884">
      <c r="A884" s="0">
        <f>IF(B884="", "", VLOOKUP(B884, DanhSachCodeId, 3, FALSE))</f>
      </c>
      <c r="C884" s="0">
        <f>IF(B884="", "", VLOOKUP(B884, DanhSachNhanVien, 2, FALSE))</f>
      </c>
      <c r="Q884" s="0">
        <f>IF(P884="", "", VLOOKUP(P884, DanhSachNhanVien, 2, FALSE))</f>
      </c>
      <c r="Z884" s="0">
        <f>IF(D884="", "", VLOOKUP(D884, DanhSachLoaiQuyetDinhRange, 2, FALSE))</f>
      </c>
      <c r="AA884" s="0">
        <f>IF(I884="", "", VLOOKUP(I884, DanhSachPhongBanRange, 2, FALSE))</f>
      </c>
      <c r="AB884" s="0">
        <f>IF(J884="", "", VLOOKUP(J884, DanhSachChucDanhRange, 2, FALSE))</f>
      </c>
      <c r="AC884" s="0">
        <f>IF(L884="", "", VLOOKUP(L884, ThangLuongData, 2, FALSE))</f>
      </c>
      <c r="AD884" s="0">
        <f>IF(M884="", "", VLOOKUP(M884, NgachLuongData, 2, FALSE))</f>
      </c>
      <c r="AE884" s="0">
        <f>IF(N884="", "", VLOOKUP(N884, BacLuongData, 2, FALSE))</f>
      </c>
      <c r="AF884" s="0">
        <f>IF(P884="", "", VLOOKUP(P884, DanhSachCodeId, 3, FALSE))</f>
      </c>
    </row>
    <row r="885">
      <c r="A885" s="0">
        <f>IF(B885="", "", VLOOKUP(B885, DanhSachCodeId, 3, FALSE))</f>
      </c>
      <c r="C885" s="0">
        <f>IF(B885="", "", VLOOKUP(B885, DanhSachNhanVien, 2, FALSE))</f>
      </c>
      <c r="Q885" s="0">
        <f>IF(P885="", "", VLOOKUP(P885, DanhSachNhanVien, 2, FALSE))</f>
      </c>
      <c r="Z885" s="0">
        <f>IF(D885="", "", VLOOKUP(D885, DanhSachLoaiQuyetDinhRange, 2, FALSE))</f>
      </c>
      <c r="AA885" s="0">
        <f>IF(I885="", "", VLOOKUP(I885, DanhSachPhongBanRange, 2, FALSE))</f>
      </c>
      <c r="AB885" s="0">
        <f>IF(J885="", "", VLOOKUP(J885, DanhSachChucDanhRange, 2, FALSE))</f>
      </c>
      <c r="AC885" s="0">
        <f>IF(L885="", "", VLOOKUP(L885, ThangLuongData, 2, FALSE))</f>
      </c>
      <c r="AD885" s="0">
        <f>IF(M885="", "", VLOOKUP(M885, NgachLuongData, 2, FALSE))</f>
      </c>
      <c r="AE885" s="0">
        <f>IF(N885="", "", VLOOKUP(N885, BacLuongData, 2, FALSE))</f>
      </c>
      <c r="AF885" s="0">
        <f>IF(P885="", "", VLOOKUP(P885, DanhSachCodeId, 3, FALSE))</f>
      </c>
    </row>
    <row r="886">
      <c r="A886" s="0">
        <f>IF(B886="", "", VLOOKUP(B886, DanhSachCodeId, 3, FALSE))</f>
      </c>
      <c r="C886" s="0">
        <f>IF(B886="", "", VLOOKUP(B886, DanhSachNhanVien, 2, FALSE))</f>
      </c>
      <c r="Q886" s="0">
        <f>IF(P886="", "", VLOOKUP(P886, DanhSachNhanVien, 2, FALSE))</f>
      </c>
      <c r="Z886" s="0">
        <f>IF(D886="", "", VLOOKUP(D886, DanhSachLoaiQuyetDinhRange, 2, FALSE))</f>
      </c>
      <c r="AA886" s="0">
        <f>IF(I886="", "", VLOOKUP(I886, DanhSachPhongBanRange, 2, FALSE))</f>
      </c>
      <c r="AB886" s="0">
        <f>IF(J886="", "", VLOOKUP(J886, DanhSachChucDanhRange, 2, FALSE))</f>
      </c>
      <c r="AC886" s="0">
        <f>IF(L886="", "", VLOOKUP(L886, ThangLuongData, 2, FALSE))</f>
      </c>
      <c r="AD886" s="0">
        <f>IF(M886="", "", VLOOKUP(M886, NgachLuongData, 2, FALSE))</f>
      </c>
      <c r="AE886" s="0">
        <f>IF(N886="", "", VLOOKUP(N886, BacLuongData, 2, FALSE))</f>
      </c>
      <c r="AF886" s="0">
        <f>IF(P886="", "", VLOOKUP(P886, DanhSachCodeId, 3, FALSE))</f>
      </c>
    </row>
    <row r="887">
      <c r="A887" s="0">
        <f>IF(B887="", "", VLOOKUP(B887, DanhSachCodeId, 3, FALSE))</f>
      </c>
      <c r="C887" s="0">
        <f>IF(B887="", "", VLOOKUP(B887, DanhSachNhanVien, 2, FALSE))</f>
      </c>
      <c r="Q887" s="0">
        <f>IF(P887="", "", VLOOKUP(P887, DanhSachNhanVien, 2, FALSE))</f>
      </c>
      <c r="Z887" s="0">
        <f>IF(D887="", "", VLOOKUP(D887, DanhSachLoaiQuyetDinhRange, 2, FALSE))</f>
      </c>
      <c r="AA887" s="0">
        <f>IF(I887="", "", VLOOKUP(I887, DanhSachPhongBanRange, 2, FALSE))</f>
      </c>
      <c r="AB887" s="0">
        <f>IF(J887="", "", VLOOKUP(J887, DanhSachChucDanhRange, 2, FALSE))</f>
      </c>
      <c r="AC887" s="0">
        <f>IF(L887="", "", VLOOKUP(L887, ThangLuongData, 2, FALSE))</f>
      </c>
      <c r="AD887" s="0">
        <f>IF(M887="", "", VLOOKUP(M887, NgachLuongData, 2, FALSE))</f>
      </c>
      <c r="AE887" s="0">
        <f>IF(N887="", "", VLOOKUP(N887, BacLuongData, 2, FALSE))</f>
      </c>
      <c r="AF887" s="0">
        <f>IF(P887="", "", VLOOKUP(P887, DanhSachCodeId, 3, FALSE))</f>
      </c>
    </row>
    <row r="888">
      <c r="A888" s="0">
        <f>IF(B888="", "", VLOOKUP(B888, DanhSachCodeId, 3, FALSE))</f>
      </c>
      <c r="C888" s="0">
        <f>IF(B888="", "", VLOOKUP(B888, DanhSachNhanVien, 2, FALSE))</f>
      </c>
      <c r="Q888" s="0">
        <f>IF(P888="", "", VLOOKUP(P888, DanhSachNhanVien, 2, FALSE))</f>
      </c>
      <c r="Z888" s="0">
        <f>IF(D888="", "", VLOOKUP(D888, DanhSachLoaiQuyetDinhRange, 2, FALSE))</f>
      </c>
      <c r="AA888" s="0">
        <f>IF(I888="", "", VLOOKUP(I888, DanhSachPhongBanRange, 2, FALSE))</f>
      </c>
      <c r="AB888" s="0">
        <f>IF(J888="", "", VLOOKUP(J888, DanhSachChucDanhRange, 2, FALSE))</f>
      </c>
      <c r="AC888" s="0">
        <f>IF(L888="", "", VLOOKUP(L888, ThangLuongData, 2, FALSE))</f>
      </c>
      <c r="AD888" s="0">
        <f>IF(M888="", "", VLOOKUP(M888, NgachLuongData, 2, FALSE))</f>
      </c>
      <c r="AE888" s="0">
        <f>IF(N888="", "", VLOOKUP(N888, BacLuongData, 2, FALSE))</f>
      </c>
      <c r="AF888" s="0">
        <f>IF(P888="", "", VLOOKUP(P888, DanhSachCodeId, 3, FALSE))</f>
      </c>
    </row>
    <row r="889">
      <c r="A889" s="0">
        <f>IF(B889="", "", VLOOKUP(B889, DanhSachCodeId, 3, FALSE))</f>
      </c>
      <c r="C889" s="0">
        <f>IF(B889="", "", VLOOKUP(B889, DanhSachNhanVien, 2, FALSE))</f>
      </c>
      <c r="Q889" s="0">
        <f>IF(P889="", "", VLOOKUP(P889, DanhSachNhanVien, 2, FALSE))</f>
      </c>
      <c r="Z889" s="0">
        <f>IF(D889="", "", VLOOKUP(D889, DanhSachLoaiQuyetDinhRange, 2, FALSE))</f>
      </c>
      <c r="AA889" s="0">
        <f>IF(I889="", "", VLOOKUP(I889, DanhSachPhongBanRange, 2, FALSE))</f>
      </c>
      <c r="AB889" s="0">
        <f>IF(J889="", "", VLOOKUP(J889, DanhSachChucDanhRange, 2, FALSE))</f>
      </c>
      <c r="AC889" s="0">
        <f>IF(L889="", "", VLOOKUP(L889, ThangLuongData, 2, FALSE))</f>
      </c>
      <c r="AD889" s="0">
        <f>IF(M889="", "", VLOOKUP(M889, NgachLuongData, 2, FALSE))</f>
      </c>
      <c r="AE889" s="0">
        <f>IF(N889="", "", VLOOKUP(N889, BacLuongData, 2, FALSE))</f>
      </c>
      <c r="AF889" s="0">
        <f>IF(P889="", "", VLOOKUP(P889, DanhSachCodeId, 3, FALSE))</f>
      </c>
    </row>
    <row r="890">
      <c r="A890" s="0">
        <f>IF(B890="", "", VLOOKUP(B890, DanhSachCodeId, 3, FALSE))</f>
      </c>
      <c r="C890" s="0">
        <f>IF(B890="", "", VLOOKUP(B890, DanhSachNhanVien, 2, FALSE))</f>
      </c>
      <c r="Q890" s="0">
        <f>IF(P890="", "", VLOOKUP(P890, DanhSachNhanVien, 2, FALSE))</f>
      </c>
      <c r="Z890" s="0">
        <f>IF(D890="", "", VLOOKUP(D890, DanhSachLoaiQuyetDinhRange, 2, FALSE))</f>
      </c>
      <c r="AA890" s="0">
        <f>IF(I890="", "", VLOOKUP(I890, DanhSachPhongBanRange, 2, FALSE))</f>
      </c>
      <c r="AB890" s="0">
        <f>IF(J890="", "", VLOOKUP(J890, DanhSachChucDanhRange, 2, FALSE))</f>
      </c>
      <c r="AC890" s="0">
        <f>IF(L890="", "", VLOOKUP(L890, ThangLuongData, 2, FALSE))</f>
      </c>
      <c r="AD890" s="0">
        <f>IF(M890="", "", VLOOKUP(M890, NgachLuongData, 2, FALSE))</f>
      </c>
      <c r="AE890" s="0">
        <f>IF(N890="", "", VLOOKUP(N890, BacLuongData, 2, FALSE))</f>
      </c>
      <c r="AF890" s="0">
        <f>IF(P890="", "", VLOOKUP(P890, DanhSachCodeId, 3, FALSE))</f>
      </c>
    </row>
    <row r="891">
      <c r="A891" s="0">
        <f>IF(B891="", "", VLOOKUP(B891, DanhSachCodeId, 3, FALSE))</f>
      </c>
      <c r="C891" s="0">
        <f>IF(B891="", "", VLOOKUP(B891, DanhSachNhanVien, 2, FALSE))</f>
      </c>
      <c r="Q891" s="0">
        <f>IF(P891="", "", VLOOKUP(P891, DanhSachNhanVien, 2, FALSE))</f>
      </c>
      <c r="Z891" s="0">
        <f>IF(D891="", "", VLOOKUP(D891, DanhSachLoaiQuyetDinhRange, 2, FALSE))</f>
      </c>
      <c r="AA891" s="0">
        <f>IF(I891="", "", VLOOKUP(I891, DanhSachPhongBanRange, 2, FALSE))</f>
      </c>
      <c r="AB891" s="0">
        <f>IF(J891="", "", VLOOKUP(J891, DanhSachChucDanhRange, 2, FALSE))</f>
      </c>
      <c r="AC891" s="0">
        <f>IF(L891="", "", VLOOKUP(L891, ThangLuongData, 2, FALSE))</f>
      </c>
      <c r="AD891" s="0">
        <f>IF(M891="", "", VLOOKUP(M891, NgachLuongData, 2, FALSE))</f>
      </c>
      <c r="AE891" s="0">
        <f>IF(N891="", "", VLOOKUP(N891, BacLuongData, 2, FALSE))</f>
      </c>
      <c r="AF891" s="0">
        <f>IF(P891="", "", VLOOKUP(P891, DanhSachCodeId, 3, FALSE))</f>
      </c>
    </row>
    <row r="892">
      <c r="A892" s="0">
        <f>IF(B892="", "", VLOOKUP(B892, DanhSachCodeId, 3, FALSE))</f>
      </c>
      <c r="C892" s="0">
        <f>IF(B892="", "", VLOOKUP(B892, DanhSachNhanVien, 2, FALSE))</f>
      </c>
      <c r="Q892" s="0">
        <f>IF(P892="", "", VLOOKUP(P892, DanhSachNhanVien, 2, FALSE))</f>
      </c>
      <c r="Z892" s="0">
        <f>IF(D892="", "", VLOOKUP(D892, DanhSachLoaiQuyetDinhRange, 2, FALSE))</f>
      </c>
      <c r="AA892" s="0">
        <f>IF(I892="", "", VLOOKUP(I892, DanhSachPhongBanRange, 2, FALSE))</f>
      </c>
      <c r="AB892" s="0">
        <f>IF(J892="", "", VLOOKUP(J892, DanhSachChucDanhRange, 2, FALSE))</f>
      </c>
      <c r="AC892" s="0">
        <f>IF(L892="", "", VLOOKUP(L892, ThangLuongData, 2, FALSE))</f>
      </c>
      <c r="AD892" s="0">
        <f>IF(M892="", "", VLOOKUP(M892, NgachLuongData, 2, FALSE))</f>
      </c>
      <c r="AE892" s="0">
        <f>IF(N892="", "", VLOOKUP(N892, BacLuongData, 2, FALSE))</f>
      </c>
      <c r="AF892" s="0">
        <f>IF(P892="", "", VLOOKUP(P892, DanhSachCodeId, 3, FALSE))</f>
      </c>
    </row>
    <row r="893">
      <c r="A893" s="0">
        <f>IF(B893="", "", VLOOKUP(B893, DanhSachCodeId, 3, FALSE))</f>
      </c>
      <c r="C893" s="0">
        <f>IF(B893="", "", VLOOKUP(B893, DanhSachNhanVien, 2, FALSE))</f>
      </c>
      <c r="Q893" s="0">
        <f>IF(P893="", "", VLOOKUP(P893, DanhSachNhanVien, 2, FALSE))</f>
      </c>
      <c r="Z893" s="0">
        <f>IF(D893="", "", VLOOKUP(D893, DanhSachLoaiQuyetDinhRange, 2, FALSE))</f>
      </c>
      <c r="AA893" s="0">
        <f>IF(I893="", "", VLOOKUP(I893, DanhSachPhongBanRange, 2, FALSE))</f>
      </c>
      <c r="AB893" s="0">
        <f>IF(J893="", "", VLOOKUP(J893, DanhSachChucDanhRange, 2, FALSE))</f>
      </c>
      <c r="AC893" s="0">
        <f>IF(L893="", "", VLOOKUP(L893, ThangLuongData, 2, FALSE))</f>
      </c>
      <c r="AD893" s="0">
        <f>IF(M893="", "", VLOOKUP(M893, NgachLuongData, 2, FALSE))</f>
      </c>
      <c r="AE893" s="0">
        <f>IF(N893="", "", VLOOKUP(N893, BacLuongData, 2, FALSE))</f>
      </c>
      <c r="AF893" s="0">
        <f>IF(P893="", "", VLOOKUP(P893, DanhSachCodeId, 3, FALSE))</f>
      </c>
    </row>
    <row r="894">
      <c r="A894" s="0">
        <f>IF(B894="", "", VLOOKUP(B894, DanhSachCodeId, 3, FALSE))</f>
      </c>
      <c r="C894" s="0">
        <f>IF(B894="", "", VLOOKUP(B894, DanhSachNhanVien, 2, FALSE))</f>
      </c>
      <c r="Q894" s="0">
        <f>IF(P894="", "", VLOOKUP(P894, DanhSachNhanVien, 2, FALSE))</f>
      </c>
      <c r="Z894" s="0">
        <f>IF(D894="", "", VLOOKUP(D894, DanhSachLoaiQuyetDinhRange, 2, FALSE))</f>
      </c>
      <c r="AA894" s="0">
        <f>IF(I894="", "", VLOOKUP(I894, DanhSachPhongBanRange, 2, FALSE))</f>
      </c>
      <c r="AB894" s="0">
        <f>IF(J894="", "", VLOOKUP(J894, DanhSachChucDanhRange, 2, FALSE))</f>
      </c>
      <c r="AC894" s="0">
        <f>IF(L894="", "", VLOOKUP(L894, ThangLuongData, 2, FALSE))</f>
      </c>
      <c r="AD894" s="0">
        <f>IF(M894="", "", VLOOKUP(M894, NgachLuongData, 2, FALSE))</f>
      </c>
      <c r="AE894" s="0">
        <f>IF(N894="", "", VLOOKUP(N894, BacLuongData, 2, FALSE))</f>
      </c>
      <c r="AF894" s="0">
        <f>IF(P894="", "", VLOOKUP(P894, DanhSachCodeId, 3, FALSE))</f>
      </c>
    </row>
    <row r="895">
      <c r="A895" s="0">
        <f>IF(B895="", "", VLOOKUP(B895, DanhSachCodeId, 3, FALSE))</f>
      </c>
      <c r="C895" s="0">
        <f>IF(B895="", "", VLOOKUP(B895, DanhSachNhanVien, 2, FALSE))</f>
      </c>
      <c r="Q895" s="0">
        <f>IF(P895="", "", VLOOKUP(P895, DanhSachNhanVien, 2, FALSE))</f>
      </c>
      <c r="Z895" s="0">
        <f>IF(D895="", "", VLOOKUP(D895, DanhSachLoaiQuyetDinhRange, 2, FALSE))</f>
      </c>
      <c r="AA895" s="0">
        <f>IF(I895="", "", VLOOKUP(I895, DanhSachPhongBanRange, 2, FALSE))</f>
      </c>
      <c r="AB895" s="0">
        <f>IF(J895="", "", VLOOKUP(J895, DanhSachChucDanhRange, 2, FALSE))</f>
      </c>
      <c r="AC895" s="0">
        <f>IF(L895="", "", VLOOKUP(L895, ThangLuongData, 2, FALSE))</f>
      </c>
      <c r="AD895" s="0">
        <f>IF(M895="", "", VLOOKUP(M895, NgachLuongData, 2, FALSE))</f>
      </c>
      <c r="AE895" s="0">
        <f>IF(N895="", "", VLOOKUP(N895, BacLuongData, 2, FALSE))</f>
      </c>
      <c r="AF895" s="0">
        <f>IF(P895="", "", VLOOKUP(P895, DanhSachCodeId, 3, FALSE))</f>
      </c>
    </row>
    <row r="896">
      <c r="A896" s="0">
        <f>IF(B896="", "", VLOOKUP(B896, DanhSachCodeId, 3, FALSE))</f>
      </c>
      <c r="C896" s="0">
        <f>IF(B896="", "", VLOOKUP(B896, DanhSachNhanVien, 2, FALSE))</f>
      </c>
      <c r="Q896" s="0">
        <f>IF(P896="", "", VLOOKUP(P896, DanhSachNhanVien, 2, FALSE))</f>
      </c>
      <c r="Z896" s="0">
        <f>IF(D896="", "", VLOOKUP(D896, DanhSachLoaiQuyetDinhRange, 2, FALSE))</f>
      </c>
      <c r="AA896" s="0">
        <f>IF(I896="", "", VLOOKUP(I896, DanhSachPhongBanRange, 2, FALSE))</f>
      </c>
      <c r="AB896" s="0">
        <f>IF(J896="", "", VLOOKUP(J896, DanhSachChucDanhRange, 2, FALSE))</f>
      </c>
      <c r="AC896" s="0">
        <f>IF(L896="", "", VLOOKUP(L896, ThangLuongData, 2, FALSE))</f>
      </c>
      <c r="AD896" s="0">
        <f>IF(M896="", "", VLOOKUP(M896, NgachLuongData, 2, FALSE))</f>
      </c>
      <c r="AE896" s="0">
        <f>IF(N896="", "", VLOOKUP(N896, BacLuongData, 2, FALSE))</f>
      </c>
      <c r="AF896" s="0">
        <f>IF(P896="", "", VLOOKUP(P896, DanhSachCodeId, 3, FALSE))</f>
      </c>
    </row>
    <row r="897">
      <c r="A897" s="0">
        <f>IF(B897="", "", VLOOKUP(B897, DanhSachCodeId, 3, FALSE))</f>
      </c>
      <c r="C897" s="0">
        <f>IF(B897="", "", VLOOKUP(B897, DanhSachNhanVien, 2, FALSE))</f>
      </c>
      <c r="Q897" s="0">
        <f>IF(P897="", "", VLOOKUP(P897, DanhSachNhanVien, 2, FALSE))</f>
      </c>
      <c r="Z897" s="0">
        <f>IF(D897="", "", VLOOKUP(D897, DanhSachLoaiQuyetDinhRange, 2, FALSE))</f>
      </c>
      <c r="AA897" s="0">
        <f>IF(I897="", "", VLOOKUP(I897, DanhSachPhongBanRange, 2, FALSE))</f>
      </c>
      <c r="AB897" s="0">
        <f>IF(J897="", "", VLOOKUP(J897, DanhSachChucDanhRange, 2, FALSE))</f>
      </c>
      <c r="AC897" s="0">
        <f>IF(L897="", "", VLOOKUP(L897, ThangLuongData, 2, FALSE))</f>
      </c>
      <c r="AD897" s="0">
        <f>IF(M897="", "", VLOOKUP(M897, NgachLuongData, 2, FALSE))</f>
      </c>
      <c r="AE897" s="0">
        <f>IF(N897="", "", VLOOKUP(N897, BacLuongData, 2, FALSE))</f>
      </c>
      <c r="AF897" s="0">
        <f>IF(P897="", "", VLOOKUP(P897, DanhSachCodeId, 3, FALSE))</f>
      </c>
    </row>
    <row r="898">
      <c r="A898" s="0">
        <f>IF(B898="", "", VLOOKUP(B898, DanhSachCodeId, 3, FALSE))</f>
      </c>
      <c r="C898" s="0">
        <f>IF(B898="", "", VLOOKUP(B898, DanhSachNhanVien, 2, FALSE))</f>
      </c>
      <c r="Q898" s="0">
        <f>IF(P898="", "", VLOOKUP(P898, DanhSachNhanVien, 2, FALSE))</f>
      </c>
      <c r="Z898" s="0">
        <f>IF(D898="", "", VLOOKUP(D898, DanhSachLoaiQuyetDinhRange, 2, FALSE))</f>
      </c>
      <c r="AA898" s="0">
        <f>IF(I898="", "", VLOOKUP(I898, DanhSachPhongBanRange, 2, FALSE))</f>
      </c>
      <c r="AB898" s="0">
        <f>IF(J898="", "", VLOOKUP(J898, DanhSachChucDanhRange, 2, FALSE))</f>
      </c>
      <c r="AC898" s="0">
        <f>IF(L898="", "", VLOOKUP(L898, ThangLuongData, 2, FALSE))</f>
      </c>
      <c r="AD898" s="0">
        <f>IF(M898="", "", VLOOKUP(M898, NgachLuongData, 2, FALSE))</f>
      </c>
      <c r="AE898" s="0">
        <f>IF(N898="", "", VLOOKUP(N898, BacLuongData, 2, FALSE))</f>
      </c>
      <c r="AF898" s="0">
        <f>IF(P898="", "", VLOOKUP(P898, DanhSachCodeId, 3, FALSE))</f>
      </c>
    </row>
    <row r="899">
      <c r="A899" s="0">
        <f>IF(B899="", "", VLOOKUP(B899, DanhSachCodeId, 3, FALSE))</f>
      </c>
      <c r="C899" s="0">
        <f>IF(B899="", "", VLOOKUP(B899, DanhSachNhanVien, 2, FALSE))</f>
      </c>
      <c r="Q899" s="0">
        <f>IF(P899="", "", VLOOKUP(P899, DanhSachNhanVien, 2, FALSE))</f>
      </c>
      <c r="Z899" s="0">
        <f>IF(D899="", "", VLOOKUP(D899, DanhSachLoaiQuyetDinhRange, 2, FALSE))</f>
      </c>
      <c r="AA899" s="0">
        <f>IF(I899="", "", VLOOKUP(I899, DanhSachPhongBanRange, 2, FALSE))</f>
      </c>
      <c r="AB899" s="0">
        <f>IF(J899="", "", VLOOKUP(J899, DanhSachChucDanhRange, 2, FALSE))</f>
      </c>
      <c r="AC899" s="0">
        <f>IF(L899="", "", VLOOKUP(L899, ThangLuongData, 2, FALSE))</f>
      </c>
      <c r="AD899" s="0">
        <f>IF(M899="", "", VLOOKUP(M899, NgachLuongData, 2, FALSE))</f>
      </c>
      <c r="AE899" s="0">
        <f>IF(N899="", "", VLOOKUP(N899, BacLuongData, 2, FALSE))</f>
      </c>
      <c r="AF899" s="0">
        <f>IF(P899="", "", VLOOKUP(P899, DanhSachCodeId, 3, FALSE))</f>
      </c>
    </row>
    <row r="900">
      <c r="A900" s="0">
        <f>IF(B900="", "", VLOOKUP(B900, DanhSachCodeId, 3, FALSE))</f>
      </c>
      <c r="C900" s="0">
        <f>IF(B900="", "", VLOOKUP(B900, DanhSachNhanVien, 2, FALSE))</f>
      </c>
      <c r="Q900" s="0">
        <f>IF(P900="", "", VLOOKUP(P900, DanhSachNhanVien, 2, FALSE))</f>
      </c>
      <c r="Z900" s="0">
        <f>IF(D900="", "", VLOOKUP(D900, DanhSachLoaiQuyetDinhRange, 2, FALSE))</f>
      </c>
      <c r="AA900" s="0">
        <f>IF(I900="", "", VLOOKUP(I900, DanhSachPhongBanRange, 2, FALSE))</f>
      </c>
      <c r="AB900" s="0">
        <f>IF(J900="", "", VLOOKUP(J900, DanhSachChucDanhRange, 2, FALSE))</f>
      </c>
      <c r="AC900" s="0">
        <f>IF(L900="", "", VLOOKUP(L900, ThangLuongData, 2, FALSE))</f>
      </c>
      <c r="AD900" s="0">
        <f>IF(M900="", "", VLOOKUP(M900, NgachLuongData, 2, FALSE))</f>
      </c>
      <c r="AE900" s="0">
        <f>IF(N900="", "", VLOOKUP(N900, BacLuongData, 2, FALSE))</f>
      </c>
      <c r="AF900" s="0">
        <f>IF(P900="", "", VLOOKUP(P900, DanhSachCodeId, 3, FALSE))</f>
      </c>
    </row>
    <row r="901">
      <c r="A901" s="0">
        <f>IF(B901="", "", VLOOKUP(B901, DanhSachCodeId, 3, FALSE))</f>
      </c>
      <c r="C901" s="0">
        <f>IF(B901="", "", VLOOKUP(B901, DanhSachNhanVien, 2, FALSE))</f>
      </c>
      <c r="Q901" s="0">
        <f>IF(P901="", "", VLOOKUP(P901, DanhSachNhanVien, 2, FALSE))</f>
      </c>
      <c r="Z901" s="0">
        <f>IF(D901="", "", VLOOKUP(D901, DanhSachLoaiQuyetDinhRange, 2, FALSE))</f>
      </c>
      <c r="AA901" s="0">
        <f>IF(I901="", "", VLOOKUP(I901, DanhSachPhongBanRange, 2, FALSE))</f>
      </c>
      <c r="AB901" s="0">
        <f>IF(J901="", "", VLOOKUP(J901, DanhSachChucDanhRange, 2, FALSE))</f>
      </c>
      <c r="AC901" s="0">
        <f>IF(L901="", "", VLOOKUP(L901, ThangLuongData, 2, FALSE))</f>
      </c>
      <c r="AD901" s="0">
        <f>IF(M901="", "", VLOOKUP(M901, NgachLuongData, 2, FALSE))</f>
      </c>
      <c r="AE901" s="0">
        <f>IF(N901="", "", VLOOKUP(N901, BacLuongData, 2, FALSE))</f>
      </c>
      <c r="AF901" s="0">
        <f>IF(P901="", "", VLOOKUP(P901, DanhSachCodeId, 3, FALSE))</f>
      </c>
    </row>
    <row r="902">
      <c r="A902" s="0">
        <f>IF(B902="", "", VLOOKUP(B902, DanhSachCodeId, 3, FALSE))</f>
      </c>
      <c r="C902" s="0">
        <f>IF(B902="", "", VLOOKUP(B902, DanhSachNhanVien, 2, FALSE))</f>
      </c>
      <c r="Q902" s="0">
        <f>IF(P902="", "", VLOOKUP(P902, DanhSachNhanVien, 2, FALSE))</f>
      </c>
      <c r="Z902" s="0">
        <f>IF(D902="", "", VLOOKUP(D902, DanhSachLoaiQuyetDinhRange, 2, FALSE))</f>
      </c>
      <c r="AA902" s="0">
        <f>IF(I902="", "", VLOOKUP(I902, DanhSachPhongBanRange, 2, FALSE))</f>
      </c>
      <c r="AB902" s="0">
        <f>IF(J902="", "", VLOOKUP(J902, DanhSachChucDanhRange, 2, FALSE))</f>
      </c>
      <c r="AC902" s="0">
        <f>IF(L902="", "", VLOOKUP(L902, ThangLuongData, 2, FALSE))</f>
      </c>
      <c r="AD902" s="0">
        <f>IF(M902="", "", VLOOKUP(M902, NgachLuongData, 2, FALSE))</f>
      </c>
      <c r="AE902" s="0">
        <f>IF(N902="", "", VLOOKUP(N902, BacLuongData, 2, FALSE))</f>
      </c>
      <c r="AF902" s="0">
        <f>IF(P902="", "", VLOOKUP(P902, DanhSachCodeId, 3, FALSE))</f>
      </c>
    </row>
    <row r="903">
      <c r="A903" s="0">
        <f>IF(B903="", "", VLOOKUP(B903, DanhSachCodeId, 3, FALSE))</f>
      </c>
      <c r="C903" s="0">
        <f>IF(B903="", "", VLOOKUP(B903, DanhSachNhanVien, 2, FALSE))</f>
      </c>
      <c r="Q903" s="0">
        <f>IF(P903="", "", VLOOKUP(P903, DanhSachNhanVien, 2, FALSE))</f>
      </c>
      <c r="Z903" s="0">
        <f>IF(D903="", "", VLOOKUP(D903, DanhSachLoaiQuyetDinhRange, 2, FALSE))</f>
      </c>
      <c r="AA903" s="0">
        <f>IF(I903="", "", VLOOKUP(I903, DanhSachPhongBanRange, 2, FALSE))</f>
      </c>
      <c r="AB903" s="0">
        <f>IF(J903="", "", VLOOKUP(J903, DanhSachChucDanhRange, 2, FALSE))</f>
      </c>
      <c r="AC903" s="0">
        <f>IF(L903="", "", VLOOKUP(L903, ThangLuongData, 2, FALSE))</f>
      </c>
      <c r="AD903" s="0">
        <f>IF(M903="", "", VLOOKUP(M903, NgachLuongData, 2, FALSE))</f>
      </c>
      <c r="AE903" s="0">
        <f>IF(N903="", "", VLOOKUP(N903, BacLuongData, 2, FALSE))</f>
      </c>
      <c r="AF903" s="0">
        <f>IF(P903="", "", VLOOKUP(P903, DanhSachCodeId, 3, FALSE))</f>
      </c>
    </row>
    <row r="904">
      <c r="A904" s="0">
        <f>IF(B904="", "", VLOOKUP(B904, DanhSachCodeId, 3, FALSE))</f>
      </c>
      <c r="C904" s="0">
        <f>IF(B904="", "", VLOOKUP(B904, DanhSachNhanVien, 2, FALSE))</f>
      </c>
      <c r="Q904" s="0">
        <f>IF(P904="", "", VLOOKUP(P904, DanhSachNhanVien, 2, FALSE))</f>
      </c>
      <c r="Z904" s="0">
        <f>IF(D904="", "", VLOOKUP(D904, DanhSachLoaiQuyetDinhRange, 2, FALSE))</f>
      </c>
      <c r="AA904" s="0">
        <f>IF(I904="", "", VLOOKUP(I904, DanhSachPhongBanRange, 2, FALSE))</f>
      </c>
      <c r="AB904" s="0">
        <f>IF(J904="", "", VLOOKUP(J904, DanhSachChucDanhRange, 2, FALSE))</f>
      </c>
      <c r="AC904" s="0">
        <f>IF(L904="", "", VLOOKUP(L904, ThangLuongData, 2, FALSE))</f>
      </c>
      <c r="AD904" s="0">
        <f>IF(M904="", "", VLOOKUP(M904, NgachLuongData, 2, FALSE))</f>
      </c>
      <c r="AE904" s="0">
        <f>IF(N904="", "", VLOOKUP(N904, BacLuongData, 2, FALSE))</f>
      </c>
      <c r="AF904" s="0">
        <f>IF(P904="", "", VLOOKUP(P904, DanhSachCodeId, 3, FALSE))</f>
      </c>
    </row>
    <row r="905">
      <c r="A905" s="0">
        <f>IF(B905="", "", VLOOKUP(B905, DanhSachCodeId, 3, FALSE))</f>
      </c>
      <c r="C905" s="0">
        <f>IF(B905="", "", VLOOKUP(B905, DanhSachNhanVien, 2, FALSE))</f>
      </c>
      <c r="Q905" s="0">
        <f>IF(P905="", "", VLOOKUP(P905, DanhSachNhanVien, 2, FALSE))</f>
      </c>
      <c r="Z905" s="0">
        <f>IF(D905="", "", VLOOKUP(D905, DanhSachLoaiQuyetDinhRange, 2, FALSE))</f>
      </c>
      <c r="AA905" s="0">
        <f>IF(I905="", "", VLOOKUP(I905, DanhSachPhongBanRange, 2, FALSE))</f>
      </c>
      <c r="AB905" s="0">
        <f>IF(J905="", "", VLOOKUP(J905, DanhSachChucDanhRange, 2, FALSE))</f>
      </c>
      <c r="AC905" s="0">
        <f>IF(L905="", "", VLOOKUP(L905, ThangLuongData, 2, FALSE))</f>
      </c>
      <c r="AD905" s="0">
        <f>IF(M905="", "", VLOOKUP(M905, NgachLuongData, 2, FALSE))</f>
      </c>
      <c r="AE905" s="0">
        <f>IF(N905="", "", VLOOKUP(N905, BacLuongData, 2, FALSE))</f>
      </c>
      <c r="AF905" s="0">
        <f>IF(P905="", "", VLOOKUP(P905, DanhSachCodeId, 3, FALSE))</f>
      </c>
    </row>
    <row r="906">
      <c r="A906" s="0">
        <f>IF(B906="", "", VLOOKUP(B906, DanhSachCodeId, 3, FALSE))</f>
      </c>
      <c r="C906" s="0">
        <f>IF(B906="", "", VLOOKUP(B906, DanhSachNhanVien, 2, FALSE))</f>
      </c>
      <c r="Q906" s="0">
        <f>IF(P906="", "", VLOOKUP(P906, DanhSachNhanVien, 2, FALSE))</f>
      </c>
      <c r="Z906" s="0">
        <f>IF(D906="", "", VLOOKUP(D906, DanhSachLoaiQuyetDinhRange, 2, FALSE))</f>
      </c>
      <c r="AA906" s="0">
        <f>IF(I906="", "", VLOOKUP(I906, DanhSachPhongBanRange, 2, FALSE))</f>
      </c>
      <c r="AB906" s="0">
        <f>IF(J906="", "", VLOOKUP(J906, DanhSachChucDanhRange, 2, FALSE))</f>
      </c>
      <c r="AC906" s="0">
        <f>IF(L906="", "", VLOOKUP(L906, ThangLuongData, 2, FALSE))</f>
      </c>
      <c r="AD906" s="0">
        <f>IF(M906="", "", VLOOKUP(M906, NgachLuongData, 2, FALSE))</f>
      </c>
      <c r="AE906" s="0">
        <f>IF(N906="", "", VLOOKUP(N906, BacLuongData, 2, FALSE))</f>
      </c>
      <c r="AF906" s="0">
        <f>IF(P906="", "", VLOOKUP(P906, DanhSachCodeId, 3, FALSE))</f>
      </c>
    </row>
    <row r="907">
      <c r="A907" s="0">
        <f>IF(B907="", "", VLOOKUP(B907, DanhSachCodeId, 3, FALSE))</f>
      </c>
      <c r="C907" s="0">
        <f>IF(B907="", "", VLOOKUP(B907, DanhSachNhanVien, 2, FALSE))</f>
      </c>
      <c r="Q907" s="0">
        <f>IF(P907="", "", VLOOKUP(P907, DanhSachNhanVien, 2, FALSE))</f>
      </c>
      <c r="Z907" s="0">
        <f>IF(D907="", "", VLOOKUP(D907, DanhSachLoaiQuyetDinhRange, 2, FALSE))</f>
      </c>
      <c r="AA907" s="0">
        <f>IF(I907="", "", VLOOKUP(I907, DanhSachPhongBanRange, 2, FALSE))</f>
      </c>
      <c r="AB907" s="0">
        <f>IF(J907="", "", VLOOKUP(J907, DanhSachChucDanhRange, 2, FALSE))</f>
      </c>
      <c r="AC907" s="0">
        <f>IF(L907="", "", VLOOKUP(L907, ThangLuongData, 2, FALSE))</f>
      </c>
      <c r="AD907" s="0">
        <f>IF(M907="", "", VLOOKUP(M907, NgachLuongData, 2, FALSE))</f>
      </c>
      <c r="AE907" s="0">
        <f>IF(N907="", "", VLOOKUP(N907, BacLuongData, 2, FALSE))</f>
      </c>
      <c r="AF907" s="0">
        <f>IF(P907="", "", VLOOKUP(P907, DanhSachCodeId, 3, FALSE))</f>
      </c>
    </row>
    <row r="908">
      <c r="A908" s="0">
        <f>IF(B908="", "", VLOOKUP(B908, DanhSachCodeId, 3, FALSE))</f>
      </c>
      <c r="C908" s="0">
        <f>IF(B908="", "", VLOOKUP(B908, DanhSachNhanVien, 2, FALSE))</f>
      </c>
      <c r="Q908" s="0">
        <f>IF(P908="", "", VLOOKUP(P908, DanhSachNhanVien, 2, FALSE))</f>
      </c>
      <c r="Z908" s="0">
        <f>IF(D908="", "", VLOOKUP(D908, DanhSachLoaiQuyetDinhRange, 2, FALSE))</f>
      </c>
      <c r="AA908" s="0">
        <f>IF(I908="", "", VLOOKUP(I908, DanhSachPhongBanRange, 2, FALSE))</f>
      </c>
      <c r="AB908" s="0">
        <f>IF(J908="", "", VLOOKUP(J908, DanhSachChucDanhRange, 2, FALSE))</f>
      </c>
      <c r="AC908" s="0">
        <f>IF(L908="", "", VLOOKUP(L908, ThangLuongData, 2, FALSE))</f>
      </c>
      <c r="AD908" s="0">
        <f>IF(M908="", "", VLOOKUP(M908, NgachLuongData, 2, FALSE))</f>
      </c>
      <c r="AE908" s="0">
        <f>IF(N908="", "", VLOOKUP(N908, BacLuongData, 2, FALSE))</f>
      </c>
      <c r="AF908" s="0">
        <f>IF(P908="", "", VLOOKUP(P908, DanhSachCodeId, 3, FALSE))</f>
      </c>
    </row>
    <row r="909">
      <c r="A909" s="0">
        <f>IF(B909="", "", VLOOKUP(B909, DanhSachCodeId, 3, FALSE))</f>
      </c>
      <c r="C909" s="0">
        <f>IF(B909="", "", VLOOKUP(B909, DanhSachNhanVien, 2, FALSE))</f>
      </c>
      <c r="Q909" s="0">
        <f>IF(P909="", "", VLOOKUP(P909, DanhSachNhanVien, 2, FALSE))</f>
      </c>
      <c r="Z909" s="0">
        <f>IF(D909="", "", VLOOKUP(D909, DanhSachLoaiQuyetDinhRange, 2, FALSE))</f>
      </c>
      <c r="AA909" s="0">
        <f>IF(I909="", "", VLOOKUP(I909, DanhSachPhongBanRange, 2, FALSE))</f>
      </c>
      <c r="AB909" s="0">
        <f>IF(J909="", "", VLOOKUP(J909, DanhSachChucDanhRange, 2, FALSE))</f>
      </c>
      <c r="AC909" s="0">
        <f>IF(L909="", "", VLOOKUP(L909, ThangLuongData, 2, FALSE))</f>
      </c>
      <c r="AD909" s="0">
        <f>IF(M909="", "", VLOOKUP(M909, NgachLuongData, 2, FALSE))</f>
      </c>
      <c r="AE909" s="0">
        <f>IF(N909="", "", VLOOKUP(N909, BacLuongData, 2, FALSE))</f>
      </c>
      <c r="AF909" s="0">
        <f>IF(P909="", "", VLOOKUP(P909, DanhSachCodeId, 3, FALSE))</f>
      </c>
    </row>
    <row r="910">
      <c r="A910" s="0">
        <f>IF(B910="", "", VLOOKUP(B910, DanhSachCodeId, 3, FALSE))</f>
      </c>
      <c r="C910" s="0">
        <f>IF(B910="", "", VLOOKUP(B910, DanhSachNhanVien, 2, FALSE))</f>
      </c>
      <c r="Q910" s="0">
        <f>IF(P910="", "", VLOOKUP(P910, DanhSachNhanVien, 2, FALSE))</f>
      </c>
      <c r="Z910" s="0">
        <f>IF(D910="", "", VLOOKUP(D910, DanhSachLoaiQuyetDinhRange, 2, FALSE))</f>
      </c>
      <c r="AA910" s="0">
        <f>IF(I910="", "", VLOOKUP(I910, DanhSachPhongBanRange, 2, FALSE))</f>
      </c>
      <c r="AB910" s="0">
        <f>IF(J910="", "", VLOOKUP(J910, DanhSachChucDanhRange, 2, FALSE))</f>
      </c>
      <c r="AC910" s="0">
        <f>IF(L910="", "", VLOOKUP(L910, ThangLuongData, 2, FALSE))</f>
      </c>
      <c r="AD910" s="0">
        <f>IF(M910="", "", VLOOKUP(M910, NgachLuongData, 2, FALSE))</f>
      </c>
      <c r="AE910" s="0">
        <f>IF(N910="", "", VLOOKUP(N910, BacLuongData, 2, FALSE))</f>
      </c>
      <c r="AF910" s="0">
        <f>IF(P910="", "", VLOOKUP(P910, DanhSachCodeId, 3, FALSE))</f>
      </c>
    </row>
    <row r="911">
      <c r="A911" s="0">
        <f>IF(B911="", "", VLOOKUP(B911, DanhSachCodeId, 3, FALSE))</f>
      </c>
      <c r="C911" s="0">
        <f>IF(B911="", "", VLOOKUP(B911, DanhSachNhanVien, 2, FALSE))</f>
      </c>
      <c r="Q911" s="0">
        <f>IF(P911="", "", VLOOKUP(P911, DanhSachNhanVien, 2, FALSE))</f>
      </c>
      <c r="Z911" s="0">
        <f>IF(D911="", "", VLOOKUP(D911, DanhSachLoaiQuyetDinhRange, 2, FALSE))</f>
      </c>
      <c r="AA911" s="0">
        <f>IF(I911="", "", VLOOKUP(I911, DanhSachPhongBanRange, 2, FALSE))</f>
      </c>
      <c r="AB911" s="0">
        <f>IF(J911="", "", VLOOKUP(J911, DanhSachChucDanhRange, 2, FALSE))</f>
      </c>
      <c r="AC911" s="0">
        <f>IF(L911="", "", VLOOKUP(L911, ThangLuongData, 2, FALSE))</f>
      </c>
      <c r="AD911" s="0">
        <f>IF(M911="", "", VLOOKUP(M911, NgachLuongData, 2, FALSE))</f>
      </c>
      <c r="AE911" s="0">
        <f>IF(N911="", "", VLOOKUP(N911, BacLuongData, 2, FALSE))</f>
      </c>
      <c r="AF911" s="0">
        <f>IF(P911="", "", VLOOKUP(P911, DanhSachCodeId, 3, FALSE))</f>
      </c>
    </row>
    <row r="912">
      <c r="A912" s="0">
        <f>IF(B912="", "", VLOOKUP(B912, DanhSachCodeId, 3, FALSE))</f>
      </c>
      <c r="C912" s="0">
        <f>IF(B912="", "", VLOOKUP(B912, DanhSachNhanVien, 2, FALSE))</f>
      </c>
      <c r="Q912" s="0">
        <f>IF(P912="", "", VLOOKUP(P912, DanhSachNhanVien, 2, FALSE))</f>
      </c>
      <c r="Z912" s="0">
        <f>IF(D912="", "", VLOOKUP(D912, DanhSachLoaiQuyetDinhRange, 2, FALSE))</f>
      </c>
      <c r="AA912" s="0">
        <f>IF(I912="", "", VLOOKUP(I912, DanhSachPhongBanRange, 2, FALSE))</f>
      </c>
      <c r="AB912" s="0">
        <f>IF(J912="", "", VLOOKUP(J912, DanhSachChucDanhRange, 2, FALSE))</f>
      </c>
      <c r="AC912" s="0">
        <f>IF(L912="", "", VLOOKUP(L912, ThangLuongData, 2, FALSE))</f>
      </c>
      <c r="AD912" s="0">
        <f>IF(M912="", "", VLOOKUP(M912, NgachLuongData, 2, FALSE))</f>
      </c>
      <c r="AE912" s="0">
        <f>IF(N912="", "", VLOOKUP(N912, BacLuongData, 2, FALSE))</f>
      </c>
      <c r="AF912" s="0">
        <f>IF(P912="", "", VLOOKUP(P912, DanhSachCodeId, 3, FALSE))</f>
      </c>
    </row>
    <row r="913">
      <c r="A913" s="0">
        <f>IF(B913="", "", VLOOKUP(B913, DanhSachCodeId, 3, FALSE))</f>
      </c>
      <c r="C913" s="0">
        <f>IF(B913="", "", VLOOKUP(B913, DanhSachNhanVien, 2, FALSE))</f>
      </c>
      <c r="Q913" s="0">
        <f>IF(P913="", "", VLOOKUP(P913, DanhSachNhanVien, 2, FALSE))</f>
      </c>
      <c r="Z913" s="0">
        <f>IF(D913="", "", VLOOKUP(D913, DanhSachLoaiQuyetDinhRange, 2, FALSE))</f>
      </c>
      <c r="AA913" s="0">
        <f>IF(I913="", "", VLOOKUP(I913, DanhSachPhongBanRange, 2, FALSE))</f>
      </c>
      <c r="AB913" s="0">
        <f>IF(J913="", "", VLOOKUP(J913, DanhSachChucDanhRange, 2, FALSE))</f>
      </c>
      <c r="AC913" s="0">
        <f>IF(L913="", "", VLOOKUP(L913, ThangLuongData, 2, FALSE))</f>
      </c>
      <c r="AD913" s="0">
        <f>IF(M913="", "", VLOOKUP(M913, NgachLuongData, 2, FALSE))</f>
      </c>
      <c r="AE913" s="0">
        <f>IF(N913="", "", VLOOKUP(N913, BacLuongData, 2, FALSE))</f>
      </c>
      <c r="AF913" s="0">
        <f>IF(P913="", "", VLOOKUP(P913, DanhSachCodeId, 3, FALSE))</f>
      </c>
    </row>
    <row r="914">
      <c r="A914" s="0">
        <f>IF(B914="", "", VLOOKUP(B914, DanhSachCodeId, 3, FALSE))</f>
      </c>
      <c r="C914" s="0">
        <f>IF(B914="", "", VLOOKUP(B914, DanhSachNhanVien, 2, FALSE))</f>
      </c>
      <c r="Q914" s="0">
        <f>IF(P914="", "", VLOOKUP(P914, DanhSachNhanVien, 2, FALSE))</f>
      </c>
      <c r="Z914" s="0">
        <f>IF(D914="", "", VLOOKUP(D914, DanhSachLoaiQuyetDinhRange, 2, FALSE))</f>
      </c>
      <c r="AA914" s="0">
        <f>IF(I914="", "", VLOOKUP(I914, DanhSachPhongBanRange, 2, FALSE))</f>
      </c>
      <c r="AB914" s="0">
        <f>IF(J914="", "", VLOOKUP(J914, DanhSachChucDanhRange, 2, FALSE))</f>
      </c>
      <c r="AC914" s="0">
        <f>IF(L914="", "", VLOOKUP(L914, ThangLuongData, 2, FALSE))</f>
      </c>
      <c r="AD914" s="0">
        <f>IF(M914="", "", VLOOKUP(M914, NgachLuongData, 2, FALSE))</f>
      </c>
      <c r="AE914" s="0">
        <f>IF(N914="", "", VLOOKUP(N914, BacLuongData, 2, FALSE))</f>
      </c>
      <c r="AF914" s="0">
        <f>IF(P914="", "", VLOOKUP(P914, DanhSachCodeId, 3, FALSE))</f>
      </c>
    </row>
    <row r="915">
      <c r="A915" s="0">
        <f>IF(B915="", "", VLOOKUP(B915, DanhSachCodeId, 3, FALSE))</f>
      </c>
      <c r="C915" s="0">
        <f>IF(B915="", "", VLOOKUP(B915, DanhSachNhanVien, 2, FALSE))</f>
      </c>
      <c r="Q915" s="0">
        <f>IF(P915="", "", VLOOKUP(P915, DanhSachNhanVien, 2, FALSE))</f>
      </c>
      <c r="Z915" s="0">
        <f>IF(D915="", "", VLOOKUP(D915, DanhSachLoaiQuyetDinhRange, 2, FALSE))</f>
      </c>
      <c r="AA915" s="0">
        <f>IF(I915="", "", VLOOKUP(I915, DanhSachPhongBanRange, 2, FALSE))</f>
      </c>
      <c r="AB915" s="0">
        <f>IF(J915="", "", VLOOKUP(J915, DanhSachChucDanhRange, 2, FALSE))</f>
      </c>
      <c r="AC915" s="0">
        <f>IF(L915="", "", VLOOKUP(L915, ThangLuongData, 2, FALSE))</f>
      </c>
      <c r="AD915" s="0">
        <f>IF(M915="", "", VLOOKUP(M915, NgachLuongData, 2, FALSE))</f>
      </c>
      <c r="AE915" s="0">
        <f>IF(N915="", "", VLOOKUP(N915, BacLuongData, 2, FALSE))</f>
      </c>
      <c r="AF915" s="0">
        <f>IF(P915="", "", VLOOKUP(P915, DanhSachCodeId, 3, FALSE))</f>
      </c>
    </row>
    <row r="916">
      <c r="A916" s="0">
        <f>IF(B916="", "", VLOOKUP(B916, DanhSachCodeId, 3, FALSE))</f>
      </c>
      <c r="C916" s="0">
        <f>IF(B916="", "", VLOOKUP(B916, DanhSachNhanVien, 2, FALSE))</f>
      </c>
      <c r="Q916" s="0">
        <f>IF(P916="", "", VLOOKUP(P916, DanhSachNhanVien, 2, FALSE))</f>
      </c>
      <c r="Z916" s="0">
        <f>IF(D916="", "", VLOOKUP(D916, DanhSachLoaiQuyetDinhRange, 2, FALSE))</f>
      </c>
      <c r="AA916" s="0">
        <f>IF(I916="", "", VLOOKUP(I916, DanhSachPhongBanRange, 2, FALSE))</f>
      </c>
      <c r="AB916" s="0">
        <f>IF(J916="", "", VLOOKUP(J916, DanhSachChucDanhRange, 2, FALSE))</f>
      </c>
      <c r="AC916" s="0">
        <f>IF(L916="", "", VLOOKUP(L916, ThangLuongData, 2, FALSE))</f>
      </c>
      <c r="AD916" s="0">
        <f>IF(M916="", "", VLOOKUP(M916, NgachLuongData, 2, FALSE))</f>
      </c>
      <c r="AE916" s="0">
        <f>IF(N916="", "", VLOOKUP(N916, BacLuongData, 2, FALSE))</f>
      </c>
      <c r="AF916" s="0">
        <f>IF(P916="", "", VLOOKUP(P916, DanhSachCodeId, 3, FALSE))</f>
      </c>
    </row>
    <row r="917">
      <c r="A917" s="0">
        <f>IF(B917="", "", VLOOKUP(B917, DanhSachCodeId, 3, FALSE))</f>
      </c>
      <c r="C917" s="0">
        <f>IF(B917="", "", VLOOKUP(B917, DanhSachNhanVien, 2, FALSE))</f>
      </c>
      <c r="Q917" s="0">
        <f>IF(P917="", "", VLOOKUP(P917, DanhSachNhanVien, 2, FALSE))</f>
      </c>
      <c r="Z917" s="0">
        <f>IF(D917="", "", VLOOKUP(D917, DanhSachLoaiQuyetDinhRange, 2, FALSE))</f>
      </c>
      <c r="AA917" s="0">
        <f>IF(I917="", "", VLOOKUP(I917, DanhSachPhongBanRange, 2, FALSE))</f>
      </c>
      <c r="AB917" s="0">
        <f>IF(J917="", "", VLOOKUP(J917, DanhSachChucDanhRange, 2, FALSE))</f>
      </c>
      <c r="AC917" s="0">
        <f>IF(L917="", "", VLOOKUP(L917, ThangLuongData, 2, FALSE))</f>
      </c>
      <c r="AD917" s="0">
        <f>IF(M917="", "", VLOOKUP(M917, NgachLuongData, 2, FALSE))</f>
      </c>
      <c r="AE917" s="0">
        <f>IF(N917="", "", VLOOKUP(N917, BacLuongData, 2, FALSE))</f>
      </c>
      <c r="AF917" s="0">
        <f>IF(P917="", "", VLOOKUP(P917, DanhSachCodeId, 3, FALSE))</f>
      </c>
    </row>
    <row r="918">
      <c r="A918" s="0">
        <f>IF(B918="", "", VLOOKUP(B918, DanhSachCodeId, 3, FALSE))</f>
      </c>
      <c r="C918" s="0">
        <f>IF(B918="", "", VLOOKUP(B918, DanhSachNhanVien, 2, FALSE))</f>
      </c>
      <c r="Q918" s="0">
        <f>IF(P918="", "", VLOOKUP(P918, DanhSachNhanVien, 2, FALSE))</f>
      </c>
      <c r="Z918" s="0">
        <f>IF(D918="", "", VLOOKUP(D918, DanhSachLoaiQuyetDinhRange, 2, FALSE))</f>
      </c>
      <c r="AA918" s="0">
        <f>IF(I918="", "", VLOOKUP(I918, DanhSachPhongBanRange, 2, FALSE))</f>
      </c>
      <c r="AB918" s="0">
        <f>IF(J918="", "", VLOOKUP(J918, DanhSachChucDanhRange, 2, FALSE))</f>
      </c>
      <c r="AC918" s="0">
        <f>IF(L918="", "", VLOOKUP(L918, ThangLuongData, 2, FALSE))</f>
      </c>
      <c r="AD918" s="0">
        <f>IF(M918="", "", VLOOKUP(M918, NgachLuongData, 2, FALSE))</f>
      </c>
      <c r="AE918" s="0">
        <f>IF(N918="", "", VLOOKUP(N918, BacLuongData, 2, FALSE))</f>
      </c>
      <c r="AF918" s="0">
        <f>IF(P918="", "", VLOOKUP(P918, DanhSachCodeId, 3, FALSE))</f>
      </c>
    </row>
    <row r="919">
      <c r="A919" s="0">
        <f>IF(B919="", "", VLOOKUP(B919, DanhSachCodeId, 3, FALSE))</f>
      </c>
      <c r="C919" s="0">
        <f>IF(B919="", "", VLOOKUP(B919, DanhSachNhanVien, 2, FALSE))</f>
      </c>
      <c r="Q919" s="0">
        <f>IF(P919="", "", VLOOKUP(P919, DanhSachNhanVien, 2, FALSE))</f>
      </c>
      <c r="Z919" s="0">
        <f>IF(D919="", "", VLOOKUP(D919, DanhSachLoaiQuyetDinhRange, 2, FALSE))</f>
      </c>
      <c r="AA919" s="0">
        <f>IF(I919="", "", VLOOKUP(I919, DanhSachPhongBanRange, 2, FALSE))</f>
      </c>
      <c r="AB919" s="0">
        <f>IF(J919="", "", VLOOKUP(J919, DanhSachChucDanhRange, 2, FALSE))</f>
      </c>
      <c r="AC919" s="0">
        <f>IF(L919="", "", VLOOKUP(L919, ThangLuongData, 2, FALSE))</f>
      </c>
      <c r="AD919" s="0">
        <f>IF(M919="", "", VLOOKUP(M919, NgachLuongData, 2, FALSE))</f>
      </c>
      <c r="AE919" s="0">
        <f>IF(N919="", "", VLOOKUP(N919, BacLuongData, 2, FALSE))</f>
      </c>
      <c r="AF919" s="0">
        <f>IF(P919="", "", VLOOKUP(P919, DanhSachCodeId, 3, FALSE))</f>
      </c>
    </row>
    <row r="920">
      <c r="A920" s="0">
        <f>IF(B920="", "", VLOOKUP(B920, DanhSachCodeId, 3, FALSE))</f>
      </c>
      <c r="C920" s="0">
        <f>IF(B920="", "", VLOOKUP(B920, DanhSachNhanVien, 2, FALSE))</f>
      </c>
      <c r="Q920" s="0">
        <f>IF(P920="", "", VLOOKUP(P920, DanhSachNhanVien, 2, FALSE))</f>
      </c>
      <c r="Z920" s="0">
        <f>IF(D920="", "", VLOOKUP(D920, DanhSachLoaiQuyetDinhRange, 2, FALSE))</f>
      </c>
      <c r="AA920" s="0">
        <f>IF(I920="", "", VLOOKUP(I920, DanhSachPhongBanRange, 2, FALSE))</f>
      </c>
      <c r="AB920" s="0">
        <f>IF(J920="", "", VLOOKUP(J920, DanhSachChucDanhRange, 2, FALSE))</f>
      </c>
      <c r="AC920" s="0">
        <f>IF(L920="", "", VLOOKUP(L920, ThangLuongData, 2, FALSE))</f>
      </c>
      <c r="AD920" s="0">
        <f>IF(M920="", "", VLOOKUP(M920, NgachLuongData, 2, FALSE))</f>
      </c>
      <c r="AE920" s="0">
        <f>IF(N920="", "", VLOOKUP(N920, BacLuongData, 2, FALSE))</f>
      </c>
      <c r="AF920" s="0">
        <f>IF(P920="", "", VLOOKUP(P920, DanhSachCodeId, 3, FALSE))</f>
      </c>
    </row>
    <row r="921">
      <c r="A921" s="0">
        <f>IF(B921="", "", VLOOKUP(B921, DanhSachCodeId, 3, FALSE))</f>
      </c>
      <c r="C921" s="0">
        <f>IF(B921="", "", VLOOKUP(B921, DanhSachNhanVien, 2, FALSE))</f>
      </c>
      <c r="Q921" s="0">
        <f>IF(P921="", "", VLOOKUP(P921, DanhSachNhanVien, 2, FALSE))</f>
      </c>
      <c r="Z921" s="0">
        <f>IF(D921="", "", VLOOKUP(D921, DanhSachLoaiQuyetDinhRange, 2, FALSE))</f>
      </c>
      <c r="AA921" s="0">
        <f>IF(I921="", "", VLOOKUP(I921, DanhSachPhongBanRange, 2, FALSE))</f>
      </c>
      <c r="AB921" s="0">
        <f>IF(J921="", "", VLOOKUP(J921, DanhSachChucDanhRange, 2, FALSE))</f>
      </c>
      <c r="AC921" s="0">
        <f>IF(L921="", "", VLOOKUP(L921, ThangLuongData, 2, FALSE))</f>
      </c>
      <c r="AD921" s="0">
        <f>IF(M921="", "", VLOOKUP(M921, NgachLuongData, 2, FALSE))</f>
      </c>
      <c r="AE921" s="0">
        <f>IF(N921="", "", VLOOKUP(N921, BacLuongData, 2, FALSE))</f>
      </c>
      <c r="AF921" s="0">
        <f>IF(P921="", "", VLOOKUP(P921, DanhSachCodeId, 3, FALSE))</f>
      </c>
    </row>
    <row r="922">
      <c r="A922" s="0">
        <f>IF(B922="", "", VLOOKUP(B922, DanhSachCodeId, 3, FALSE))</f>
      </c>
      <c r="C922" s="0">
        <f>IF(B922="", "", VLOOKUP(B922, DanhSachNhanVien, 2, FALSE))</f>
      </c>
      <c r="Q922" s="0">
        <f>IF(P922="", "", VLOOKUP(P922, DanhSachNhanVien, 2, FALSE))</f>
      </c>
      <c r="Z922" s="0">
        <f>IF(D922="", "", VLOOKUP(D922, DanhSachLoaiQuyetDinhRange, 2, FALSE))</f>
      </c>
      <c r="AA922" s="0">
        <f>IF(I922="", "", VLOOKUP(I922, DanhSachPhongBanRange, 2, FALSE))</f>
      </c>
      <c r="AB922" s="0">
        <f>IF(J922="", "", VLOOKUP(J922, DanhSachChucDanhRange, 2, FALSE))</f>
      </c>
      <c r="AC922" s="0">
        <f>IF(L922="", "", VLOOKUP(L922, ThangLuongData, 2, FALSE))</f>
      </c>
      <c r="AD922" s="0">
        <f>IF(M922="", "", VLOOKUP(M922, NgachLuongData, 2, FALSE))</f>
      </c>
      <c r="AE922" s="0">
        <f>IF(N922="", "", VLOOKUP(N922, BacLuongData, 2, FALSE))</f>
      </c>
      <c r="AF922" s="0">
        <f>IF(P922="", "", VLOOKUP(P922, DanhSachCodeId, 3, FALSE))</f>
      </c>
    </row>
    <row r="923">
      <c r="A923" s="0">
        <f>IF(B923="", "", VLOOKUP(B923, DanhSachCodeId, 3, FALSE))</f>
      </c>
      <c r="C923" s="0">
        <f>IF(B923="", "", VLOOKUP(B923, DanhSachNhanVien, 2, FALSE))</f>
      </c>
      <c r="Q923" s="0">
        <f>IF(P923="", "", VLOOKUP(P923, DanhSachNhanVien, 2, FALSE))</f>
      </c>
      <c r="Z923" s="0">
        <f>IF(D923="", "", VLOOKUP(D923, DanhSachLoaiQuyetDinhRange, 2, FALSE))</f>
      </c>
      <c r="AA923" s="0">
        <f>IF(I923="", "", VLOOKUP(I923, DanhSachPhongBanRange, 2, FALSE))</f>
      </c>
      <c r="AB923" s="0">
        <f>IF(J923="", "", VLOOKUP(J923, DanhSachChucDanhRange, 2, FALSE))</f>
      </c>
      <c r="AC923" s="0">
        <f>IF(L923="", "", VLOOKUP(L923, ThangLuongData, 2, FALSE))</f>
      </c>
      <c r="AD923" s="0">
        <f>IF(M923="", "", VLOOKUP(M923, NgachLuongData, 2, FALSE))</f>
      </c>
      <c r="AE923" s="0">
        <f>IF(N923="", "", VLOOKUP(N923, BacLuongData, 2, FALSE))</f>
      </c>
      <c r="AF923" s="0">
        <f>IF(P923="", "", VLOOKUP(P923, DanhSachCodeId, 3, FALSE))</f>
      </c>
    </row>
    <row r="924">
      <c r="A924" s="0">
        <f>IF(B924="", "", VLOOKUP(B924, DanhSachCodeId, 3, FALSE))</f>
      </c>
      <c r="C924" s="0">
        <f>IF(B924="", "", VLOOKUP(B924, DanhSachNhanVien, 2, FALSE))</f>
      </c>
      <c r="Q924" s="0">
        <f>IF(P924="", "", VLOOKUP(P924, DanhSachNhanVien, 2, FALSE))</f>
      </c>
      <c r="Z924" s="0">
        <f>IF(D924="", "", VLOOKUP(D924, DanhSachLoaiQuyetDinhRange, 2, FALSE))</f>
      </c>
      <c r="AA924" s="0">
        <f>IF(I924="", "", VLOOKUP(I924, DanhSachPhongBanRange, 2, FALSE))</f>
      </c>
      <c r="AB924" s="0">
        <f>IF(J924="", "", VLOOKUP(J924, DanhSachChucDanhRange, 2, FALSE))</f>
      </c>
      <c r="AC924" s="0">
        <f>IF(L924="", "", VLOOKUP(L924, ThangLuongData, 2, FALSE))</f>
      </c>
      <c r="AD924" s="0">
        <f>IF(M924="", "", VLOOKUP(M924, NgachLuongData, 2, FALSE))</f>
      </c>
      <c r="AE924" s="0">
        <f>IF(N924="", "", VLOOKUP(N924, BacLuongData, 2, FALSE))</f>
      </c>
      <c r="AF924" s="0">
        <f>IF(P924="", "", VLOOKUP(P924, DanhSachCodeId, 3, FALSE))</f>
      </c>
    </row>
    <row r="925">
      <c r="A925" s="0">
        <f>IF(B925="", "", VLOOKUP(B925, DanhSachCodeId, 3, FALSE))</f>
      </c>
      <c r="C925" s="0">
        <f>IF(B925="", "", VLOOKUP(B925, DanhSachNhanVien, 2, FALSE))</f>
      </c>
      <c r="Q925" s="0">
        <f>IF(P925="", "", VLOOKUP(P925, DanhSachNhanVien, 2, FALSE))</f>
      </c>
      <c r="Z925" s="0">
        <f>IF(D925="", "", VLOOKUP(D925, DanhSachLoaiQuyetDinhRange, 2, FALSE))</f>
      </c>
      <c r="AA925" s="0">
        <f>IF(I925="", "", VLOOKUP(I925, DanhSachPhongBanRange, 2, FALSE))</f>
      </c>
      <c r="AB925" s="0">
        <f>IF(J925="", "", VLOOKUP(J925, DanhSachChucDanhRange, 2, FALSE))</f>
      </c>
      <c r="AC925" s="0">
        <f>IF(L925="", "", VLOOKUP(L925, ThangLuongData, 2, FALSE))</f>
      </c>
      <c r="AD925" s="0">
        <f>IF(M925="", "", VLOOKUP(M925, NgachLuongData, 2, FALSE))</f>
      </c>
      <c r="AE925" s="0">
        <f>IF(N925="", "", VLOOKUP(N925, BacLuongData, 2, FALSE))</f>
      </c>
      <c r="AF925" s="0">
        <f>IF(P925="", "", VLOOKUP(P925, DanhSachCodeId, 3, FALSE))</f>
      </c>
    </row>
    <row r="926">
      <c r="A926" s="0">
        <f>IF(B926="", "", VLOOKUP(B926, DanhSachCodeId, 3, FALSE))</f>
      </c>
      <c r="C926" s="0">
        <f>IF(B926="", "", VLOOKUP(B926, DanhSachNhanVien, 2, FALSE))</f>
      </c>
      <c r="Q926" s="0">
        <f>IF(P926="", "", VLOOKUP(P926, DanhSachNhanVien, 2, FALSE))</f>
      </c>
      <c r="Z926" s="0">
        <f>IF(D926="", "", VLOOKUP(D926, DanhSachLoaiQuyetDinhRange, 2, FALSE))</f>
      </c>
      <c r="AA926" s="0">
        <f>IF(I926="", "", VLOOKUP(I926, DanhSachPhongBanRange, 2, FALSE))</f>
      </c>
      <c r="AB926" s="0">
        <f>IF(J926="", "", VLOOKUP(J926, DanhSachChucDanhRange, 2, FALSE))</f>
      </c>
      <c r="AC926" s="0">
        <f>IF(L926="", "", VLOOKUP(L926, ThangLuongData, 2, FALSE))</f>
      </c>
      <c r="AD926" s="0">
        <f>IF(M926="", "", VLOOKUP(M926, NgachLuongData, 2, FALSE))</f>
      </c>
      <c r="AE926" s="0">
        <f>IF(N926="", "", VLOOKUP(N926, BacLuongData, 2, FALSE))</f>
      </c>
      <c r="AF926" s="0">
        <f>IF(P926="", "", VLOOKUP(P926, DanhSachCodeId, 3, FALSE))</f>
      </c>
    </row>
    <row r="927">
      <c r="A927" s="0">
        <f>IF(B927="", "", VLOOKUP(B927, DanhSachCodeId, 3, FALSE))</f>
      </c>
      <c r="C927" s="0">
        <f>IF(B927="", "", VLOOKUP(B927, DanhSachNhanVien, 2, FALSE))</f>
      </c>
      <c r="Q927" s="0">
        <f>IF(P927="", "", VLOOKUP(P927, DanhSachNhanVien, 2, FALSE))</f>
      </c>
      <c r="Z927" s="0">
        <f>IF(D927="", "", VLOOKUP(D927, DanhSachLoaiQuyetDinhRange, 2, FALSE))</f>
      </c>
      <c r="AA927" s="0">
        <f>IF(I927="", "", VLOOKUP(I927, DanhSachPhongBanRange, 2, FALSE))</f>
      </c>
      <c r="AB927" s="0">
        <f>IF(J927="", "", VLOOKUP(J927, DanhSachChucDanhRange, 2, FALSE))</f>
      </c>
      <c r="AC927" s="0">
        <f>IF(L927="", "", VLOOKUP(L927, ThangLuongData, 2, FALSE))</f>
      </c>
      <c r="AD927" s="0">
        <f>IF(M927="", "", VLOOKUP(M927, NgachLuongData, 2, FALSE))</f>
      </c>
      <c r="AE927" s="0">
        <f>IF(N927="", "", VLOOKUP(N927, BacLuongData, 2, FALSE))</f>
      </c>
      <c r="AF927" s="0">
        <f>IF(P927="", "", VLOOKUP(P927, DanhSachCodeId, 3, FALSE))</f>
      </c>
    </row>
    <row r="928">
      <c r="A928" s="0">
        <f>IF(B928="", "", VLOOKUP(B928, DanhSachCodeId, 3, FALSE))</f>
      </c>
      <c r="C928" s="0">
        <f>IF(B928="", "", VLOOKUP(B928, DanhSachNhanVien, 2, FALSE))</f>
      </c>
      <c r="Q928" s="0">
        <f>IF(P928="", "", VLOOKUP(P928, DanhSachNhanVien, 2, FALSE))</f>
      </c>
      <c r="Z928" s="0">
        <f>IF(D928="", "", VLOOKUP(D928, DanhSachLoaiQuyetDinhRange, 2, FALSE))</f>
      </c>
      <c r="AA928" s="0">
        <f>IF(I928="", "", VLOOKUP(I928, DanhSachPhongBanRange, 2, FALSE))</f>
      </c>
      <c r="AB928" s="0">
        <f>IF(J928="", "", VLOOKUP(J928, DanhSachChucDanhRange, 2, FALSE))</f>
      </c>
      <c r="AC928" s="0">
        <f>IF(L928="", "", VLOOKUP(L928, ThangLuongData, 2, FALSE))</f>
      </c>
      <c r="AD928" s="0">
        <f>IF(M928="", "", VLOOKUP(M928, NgachLuongData, 2, FALSE))</f>
      </c>
      <c r="AE928" s="0">
        <f>IF(N928="", "", VLOOKUP(N928, BacLuongData, 2, FALSE))</f>
      </c>
      <c r="AF928" s="0">
        <f>IF(P928="", "", VLOOKUP(P928, DanhSachCodeId, 3, FALSE))</f>
      </c>
    </row>
    <row r="929">
      <c r="A929" s="0">
        <f>IF(B929="", "", VLOOKUP(B929, DanhSachCodeId, 3, FALSE))</f>
      </c>
      <c r="C929" s="0">
        <f>IF(B929="", "", VLOOKUP(B929, DanhSachNhanVien, 2, FALSE))</f>
      </c>
      <c r="Q929" s="0">
        <f>IF(P929="", "", VLOOKUP(P929, DanhSachNhanVien, 2, FALSE))</f>
      </c>
      <c r="Z929" s="0">
        <f>IF(D929="", "", VLOOKUP(D929, DanhSachLoaiQuyetDinhRange, 2, FALSE))</f>
      </c>
      <c r="AA929" s="0">
        <f>IF(I929="", "", VLOOKUP(I929, DanhSachPhongBanRange, 2, FALSE))</f>
      </c>
      <c r="AB929" s="0">
        <f>IF(J929="", "", VLOOKUP(J929, DanhSachChucDanhRange, 2, FALSE))</f>
      </c>
      <c r="AC929" s="0">
        <f>IF(L929="", "", VLOOKUP(L929, ThangLuongData, 2, FALSE))</f>
      </c>
      <c r="AD929" s="0">
        <f>IF(M929="", "", VLOOKUP(M929, NgachLuongData, 2, FALSE))</f>
      </c>
      <c r="AE929" s="0">
        <f>IF(N929="", "", VLOOKUP(N929, BacLuongData, 2, FALSE))</f>
      </c>
      <c r="AF929" s="0">
        <f>IF(P929="", "", VLOOKUP(P929, DanhSachCodeId, 3, FALSE))</f>
      </c>
    </row>
    <row r="930">
      <c r="A930" s="0">
        <f>IF(B930="", "", VLOOKUP(B930, DanhSachCodeId, 3, FALSE))</f>
      </c>
      <c r="C930" s="0">
        <f>IF(B930="", "", VLOOKUP(B930, DanhSachNhanVien, 2, FALSE))</f>
      </c>
      <c r="Q930" s="0">
        <f>IF(P930="", "", VLOOKUP(P930, DanhSachNhanVien, 2, FALSE))</f>
      </c>
      <c r="Z930" s="0">
        <f>IF(D930="", "", VLOOKUP(D930, DanhSachLoaiQuyetDinhRange, 2, FALSE))</f>
      </c>
      <c r="AA930" s="0">
        <f>IF(I930="", "", VLOOKUP(I930, DanhSachPhongBanRange, 2, FALSE))</f>
      </c>
      <c r="AB930" s="0">
        <f>IF(J930="", "", VLOOKUP(J930, DanhSachChucDanhRange, 2, FALSE))</f>
      </c>
      <c r="AC930" s="0">
        <f>IF(L930="", "", VLOOKUP(L930, ThangLuongData, 2, FALSE))</f>
      </c>
      <c r="AD930" s="0">
        <f>IF(M930="", "", VLOOKUP(M930, NgachLuongData, 2, FALSE))</f>
      </c>
      <c r="AE930" s="0">
        <f>IF(N930="", "", VLOOKUP(N930, BacLuongData, 2, FALSE))</f>
      </c>
      <c r="AF930" s="0">
        <f>IF(P930="", "", VLOOKUP(P930, DanhSachCodeId, 3, FALSE))</f>
      </c>
    </row>
    <row r="931">
      <c r="A931" s="0">
        <f>IF(B931="", "", VLOOKUP(B931, DanhSachCodeId, 3, FALSE))</f>
      </c>
      <c r="C931" s="0">
        <f>IF(B931="", "", VLOOKUP(B931, DanhSachNhanVien, 2, FALSE))</f>
      </c>
      <c r="Q931" s="0">
        <f>IF(P931="", "", VLOOKUP(P931, DanhSachNhanVien, 2, FALSE))</f>
      </c>
      <c r="Z931" s="0">
        <f>IF(D931="", "", VLOOKUP(D931, DanhSachLoaiQuyetDinhRange, 2, FALSE))</f>
      </c>
      <c r="AA931" s="0">
        <f>IF(I931="", "", VLOOKUP(I931, DanhSachPhongBanRange, 2, FALSE))</f>
      </c>
      <c r="AB931" s="0">
        <f>IF(J931="", "", VLOOKUP(J931, DanhSachChucDanhRange, 2, FALSE))</f>
      </c>
      <c r="AC931" s="0">
        <f>IF(L931="", "", VLOOKUP(L931, ThangLuongData, 2, FALSE))</f>
      </c>
      <c r="AD931" s="0">
        <f>IF(M931="", "", VLOOKUP(M931, NgachLuongData, 2, FALSE))</f>
      </c>
      <c r="AE931" s="0">
        <f>IF(N931="", "", VLOOKUP(N931, BacLuongData, 2, FALSE))</f>
      </c>
      <c r="AF931" s="0">
        <f>IF(P931="", "", VLOOKUP(P931, DanhSachCodeId, 3, FALSE))</f>
      </c>
    </row>
    <row r="932">
      <c r="A932" s="0">
        <f>IF(B932="", "", VLOOKUP(B932, DanhSachCodeId, 3, FALSE))</f>
      </c>
      <c r="C932" s="0">
        <f>IF(B932="", "", VLOOKUP(B932, DanhSachNhanVien, 2, FALSE))</f>
      </c>
      <c r="Q932" s="0">
        <f>IF(P932="", "", VLOOKUP(P932, DanhSachNhanVien, 2, FALSE))</f>
      </c>
      <c r="Z932" s="0">
        <f>IF(D932="", "", VLOOKUP(D932, DanhSachLoaiQuyetDinhRange, 2, FALSE))</f>
      </c>
      <c r="AA932" s="0">
        <f>IF(I932="", "", VLOOKUP(I932, DanhSachPhongBanRange, 2, FALSE))</f>
      </c>
      <c r="AB932" s="0">
        <f>IF(J932="", "", VLOOKUP(J932, DanhSachChucDanhRange, 2, FALSE))</f>
      </c>
      <c r="AC932" s="0">
        <f>IF(L932="", "", VLOOKUP(L932, ThangLuongData, 2, FALSE))</f>
      </c>
      <c r="AD932" s="0">
        <f>IF(M932="", "", VLOOKUP(M932, NgachLuongData, 2, FALSE))</f>
      </c>
      <c r="AE932" s="0">
        <f>IF(N932="", "", VLOOKUP(N932, BacLuongData, 2, FALSE))</f>
      </c>
      <c r="AF932" s="0">
        <f>IF(P932="", "", VLOOKUP(P932, DanhSachCodeId, 3, FALSE))</f>
      </c>
    </row>
    <row r="933">
      <c r="A933" s="0">
        <f>IF(B933="", "", VLOOKUP(B933, DanhSachCodeId, 3, FALSE))</f>
      </c>
      <c r="C933" s="0">
        <f>IF(B933="", "", VLOOKUP(B933, DanhSachNhanVien, 2, FALSE))</f>
      </c>
      <c r="Q933" s="0">
        <f>IF(P933="", "", VLOOKUP(P933, DanhSachNhanVien, 2, FALSE))</f>
      </c>
      <c r="Z933" s="0">
        <f>IF(D933="", "", VLOOKUP(D933, DanhSachLoaiQuyetDinhRange, 2, FALSE))</f>
      </c>
      <c r="AA933" s="0">
        <f>IF(I933="", "", VLOOKUP(I933, DanhSachPhongBanRange, 2, FALSE))</f>
      </c>
      <c r="AB933" s="0">
        <f>IF(J933="", "", VLOOKUP(J933, DanhSachChucDanhRange, 2, FALSE))</f>
      </c>
      <c r="AC933" s="0">
        <f>IF(L933="", "", VLOOKUP(L933, ThangLuongData, 2, FALSE))</f>
      </c>
      <c r="AD933" s="0">
        <f>IF(M933="", "", VLOOKUP(M933, NgachLuongData, 2, FALSE))</f>
      </c>
      <c r="AE933" s="0">
        <f>IF(N933="", "", VLOOKUP(N933, BacLuongData, 2, FALSE))</f>
      </c>
      <c r="AF933" s="0">
        <f>IF(P933="", "", VLOOKUP(P933, DanhSachCodeId, 3, FALSE))</f>
      </c>
    </row>
    <row r="934">
      <c r="A934" s="0">
        <f>IF(B934="", "", VLOOKUP(B934, DanhSachCodeId, 3, FALSE))</f>
      </c>
      <c r="C934" s="0">
        <f>IF(B934="", "", VLOOKUP(B934, DanhSachNhanVien, 2, FALSE))</f>
      </c>
      <c r="Q934" s="0">
        <f>IF(P934="", "", VLOOKUP(P934, DanhSachNhanVien, 2, FALSE))</f>
      </c>
      <c r="Z934" s="0">
        <f>IF(D934="", "", VLOOKUP(D934, DanhSachLoaiQuyetDinhRange, 2, FALSE))</f>
      </c>
      <c r="AA934" s="0">
        <f>IF(I934="", "", VLOOKUP(I934, DanhSachPhongBanRange, 2, FALSE))</f>
      </c>
      <c r="AB934" s="0">
        <f>IF(J934="", "", VLOOKUP(J934, DanhSachChucDanhRange, 2, FALSE))</f>
      </c>
      <c r="AC934" s="0">
        <f>IF(L934="", "", VLOOKUP(L934, ThangLuongData, 2, FALSE))</f>
      </c>
      <c r="AD934" s="0">
        <f>IF(M934="", "", VLOOKUP(M934, NgachLuongData, 2, FALSE))</f>
      </c>
      <c r="AE934" s="0">
        <f>IF(N934="", "", VLOOKUP(N934, BacLuongData, 2, FALSE))</f>
      </c>
      <c r="AF934" s="0">
        <f>IF(P934="", "", VLOOKUP(P934, DanhSachCodeId, 3, FALSE))</f>
      </c>
    </row>
    <row r="935">
      <c r="A935" s="0">
        <f>IF(B935="", "", VLOOKUP(B935, DanhSachCodeId, 3, FALSE))</f>
      </c>
      <c r="C935" s="0">
        <f>IF(B935="", "", VLOOKUP(B935, DanhSachNhanVien, 2, FALSE))</f>
      </c>
      <c r="Q935" s="0">
        <f>IF(P935="", "", VLOOKUP(P935, DanhSachNhanVien, 2, FALSE))</f>
      </c>
      <c r="Z935" s="0">
        <f>IF(D935="", "", VLOOKUP(D935, DanhSachLoaiQuyetDinhRange, 2, FALSE))</f>
      </c>
      <c r="AA935" s="0">
        <f>IF(I935="", "", VLOOKUP(I935, DanhSachPhongBanRange, 2, FALSE))</f>
      </c>
      <c r="AB935" s="0">
        <f>IF(J935="", "", VLOOKUP(J935, DanhSachChucDanhRange, 2, FALSE))</f>
      </c>
      <c r="AC935" s="0">
        <f>IF(L935="", "", VLOOKUP(L935, ThangLuongData, 2, FALSE))</f>
      </c>
      <c r="AD935" s="0">
        <f>IF(M935="", "", VLOOKUP(M935, NgachLuongData, 2, FALSE))</f>
      </c>
      <c r="AE935" s="0">
        <f>IF(N935="", "", VLOOKUP(N935, BacLuongData, 2, FALSE))</f>
      </c>
      <c r="AF935" s="0">
        <f>IF(P935="", "", VLOOKUP(P935, DanhSachCodeId, 3, FALSE))</f>
      </c>
    </row>
    <row r="936">
      <c r="A936" s="0">
        <f>IF(B936="", "", VLOOKUP(B936, DanhSachCodeId, 3, FALSE))</f>
      </c>
      <c r="C936" s="0">
        <f>IF(B936="", "", VLOOKUP(B936, DanhSachNhanVien, 2, FALSE))</f>
      </c>
      <c r="Q936" s="0">
        <f>IF(P936="", "", VLOOKUP(P936, DanhSachNhanVien, 2, FALSE))</f>
      </c>
      <c r="Z936" s="0">
        <f>IF(D936="", "", VLOOKUP(D936, DanhSachLoaiQuyetDinhRange, 2, FALSE))</f>
      </c>
      <c r="AA936" s="0">
        <f>IF(I936="", "", VLOOKUP(I936, DanhSachPhongBanRange, 2, FALSE))</f>
      </c>
      <c r="AB936" s="0">
        <f>IF(J936="", "", VLOOKUP(J936, DanhSachChucDanhRange, 2, FALSE))</f>
      </c>
      <c r="AC936" s="0">
        <f>IF(L936="", "", VLOOKUP(L936, ThangLuongData, 2, FALSE))</f>
      </c>
      <c r="AD936" s="0">
        <f>IF(M936="", "", VLOOKUP(M936, NgachLuongData, 2, FALSE))</f>
      </c>
      <c r="AE936" s="0">
        <f>IF(N936="", "", VLOOKUP(N936, BacLuongData, 2, FALSE))</f>
      </c>
      <c r="AF936" s="0">
        <f>IF(P936="", "", VLOOKUP(P936, DanhSachCodeId, 3, FALSE))</f>
      </c>
    </row>
    <row r="937">
      <c r="A937" s="0">
        <f>IF(B937="", "", VLOOKUP(B937, DanhSachCodeId, 3, FALSE))</f>
      </c>
      <c r="C937" s="0">
        <f>IF(B937="", "", VLOOKUP(B937, DanhSachNhanVien, 2, FALSE))</f>
      </c>
      <c r="Q937" s="0">
        <f>IF(P937="", "", VLOOKUP(P937, DanhSachNhanVien, 2, FALSE))</f>
      </c>
      <c r="Z937" s="0">
        <f>IF(D937="", "", VLOOKUP(D937, DanhSachLoaiQuyetDinhRange, 2, FALSE))</f>
      </c>
      <c r="AA937" s="0">
        <f>IF(I937="", "", VLOOKUP(I937, DanhSachPhongBanRange, 2, FALSE))</f>
      </c>
      <c r="AB937" s="0">
        <f>IF(J937="", "", VLOOKUP(J937, DanhSachChucDanhRange, 2, FALSE))</f>
      </c>
      <c r="AC937" s="0">
        <f>IF(L937="", "", VLOOKUP(L937, ThangLuongData, 2, FALSE))</f>
      </c>
      <c r="AD937" s="0">
        <f>IF(M937="", "", VLOOKUP(M937, NgachLuongData, 2, FALSE))</f>
      </c>
      <c r="AE937" s="0">
        <f>IF(N937="", "", VLOOKUP(N937, BacLuongData, 2, FALSE))</f>
      </c>
      <c r="AF937" s="0">
        <f>IF(P937="", "", VLOOKUP(P937, DanhSachCodeId, 3, FALSE))</f>
      </c>
    </row>
    <row r="938">
      <c r="A938" s="0">
        <f>IF(B938="", "", VLOOKUP(B938, DanhSachCodeId, 3, FALSE))</f>
      </c>
      <c r="C938" s="0">
        <f>IF(B938="", "", VLOOKUP(B938, DanhSachNhanVien, 2, FALSE))</f>
      </c>
      <c r="Q938" s="0">
        <f>IF(P938="", "", VLOOKUP(P938, DanhSachNhanVien, 2, FALSE))</f>
      </c>
      <c r="Z938" s="0">
        <f>IF(D938="", "", VLOOKUP(D938, DanhSachLoaiQuyetDinhRange, 2, FALSE))</f>
      </c>
      <c r="AA938" s="0">
        <f>IF(I938="", "", VLOOKUP(I938, DanhSachPhongBanRange, 2, FALSE))</f>
      </c>
      <c r="AB938" s="0">
        <f>IF(J938="", "", VLOOKUP(J938, DanhSachChucDanhRange, 2, FALSE))</f>
      </c>
      <c r="AC938" s="0">
        <f>IF(L938="", "", VLOOKUP(L938, ThangLuongData, 2, FALSE))</f>
      </c>
      <c r="AD938" s="0">
        <f>IF(M938="", "", VLOOKUP(M938, NgachLuongData, 2, FALSE))</f>
      </c>
      <c r="AE938" s="0">
        <f>IF(N938="", "", VLOOKUP(N938, BacLuongData, 2, FALSE))</f>
      </c>
      <c r="AF938" s="0">
        <f>IF(P938="", "", VLOOKUP(P938, DanhSachCodeId, 3, FALSE))</f>
      </c>
    </row>
    <row r="939">
      <c r="A939" s="0">
        <f>IF(B939="", "", VLOOKUP(B939, DanhSachCodeId, 3, FALSE))</f>
      </c>
      <c r="C939" s="0">
        <f>IF(B939="", "", VLOOKUP(B939, DanhSachNhanVien, 2, FALSE))</f>
      </c>
      <c r="Q939" s="0">
        <f>IF(P939="", "", VLOOKUP(P939, DanhSachNhanVien, 2, FALSE))</f>
      </c>
      <c r="Z939" s="0">
        <f>IF(D939="", "", VLOOKUP(D939, DanhSachLoaiQuyetDinhRange, 2, FALSE))</f>
      </c>
      <c r="AA939" s="0">
        <f>IF(I939="", "", VLOOKUP(I939, DanhSachPhongBanRange, 2, FALSE))</f>
      </c>
      <c r="AB939" s="0">
        <f>IF(J939="", "", VLOOKUP(J939, DanhSachChucDanhRange, 2, FALSE))</f>
      </c>
      <c r="AC939" s="0">
        <f>IF(L939="", "", VLOOKUP(L939, ThangLuongData, 2, FALSE))</f>
      </c>
      <c r="AD939" s="0">
        <f>IF(M939="", "", VLOOKUP(M939, NgachLuongData, 2, FALSE))</f>
      </c>
      <c r="AE939" s="0">
        <f>IF(N939="", "", VLOOKUP(N939, BacLuongData, 2, FALSE))</f>
      </c>
      <c r="AF939" s="0">
        <f>IF(P939="", "", VLOOKUP(P939, DanhSachCodeId, 3, FALSE))</f>
      </c>
    </row>
    <row r="940">
      <c r="A940" s="0">
        <f>IF(B940="", "", VLOOKUP(B940, DanhSachCodeId, 3, FALSE))</f>
      </c>
      <c r="C940" s="0">
        <f>IF(B940="", "", VLOOKUP(B940, DanhSachNhanVien, 2, FALSE))</f>
      </c>
      <c r="Q940" s="0">
        <f>IF(P940="", "", VLOOKUP(P940, DanhSachNhanVien, 2, FALSE))</f>
      </c>
      <c r="Z940" s="0">
        <f>IF(D940="", "", VLOOKUP(D940, DanhSachLoaiQuyetDinhRange, 2, FALSE))</f>
      </c>
      <c r="AA940" s="0">
        <f>IF(I940="", "", VLOOKUP(I940, DanhSachPhongBanRange, 2, FALSE))</f>
      </c>
      <c r="AB940" s="0">
        <f>IF(J940="", "", VLOOKUP(J940, DanhSachChucDanhRange, 2, FALSE))</f>
      </c>
      <c r="AC940" s="0">
        <f>IF(L940="", "", VLOOKUP(L940, ThangLuongData, 2, FALSE))</f>
      </c>
      <c r="AD940" s="0">
        <f>IF(M940="", "", VLOOKUP(M940, NgachLuongData, 2, FALSE))</f>
      </c>
      <c r="AE940" s="0">
        <f>IF(N940="", "", VLOOKUP(N940, BacLuongData, 2, FALSE))</f>
      </c>
      <c r="AF940" s="0">
        <f>IF(P940="", "", VLOOKUP(P940, DanhSachCodeId, 3, FALSE))</f>
      </c>
    </row>
    <row r="941">
      <c r="A941" s="0">
        <f>IF(B941="", "", VLOOKUP(B941, DanhSachCodeId, 3, FALSE))</f>
      </c>
      <c r="C941" s="0">
        <f>IF(B941="", "", VLOOKUP(B941, DanhSachNhanVien, 2, FALSE))</f>
      </c>
      <c r="Q941" s="0">
        <f>IF(P941="", "", VLOOKUP(P941, DanhSachNhanVien, 2, FALSE))</f>
      </c>
      <c r="Z941" s="0">
        <f>IF(D941="", "", VLOOKUP(D941, DanhSachLoaiQuyetDinhRange, 2, FALSE))</f>
      </c>
      <c r="AA941" s="0">
        <f>IF(I941="", "", VLOOKUP(I941, DanhSachPhongBanRange, 2, FALSE))</f>
      </c>
      <c r="AB941" s="0">
        <f>IF(J941="", "", VLOOKUP(J941, DanhSachChucDanhRange, 2, FALSE))</f>
      </c>
      <c r="AC941" s="0">
        <f>IF(L941="", "", VLOOKUP(L941, ThangLuongData, 2, FALSE))</f>
      </c>
      <c r="AD941" s="0">
        <f>IF(M941="", "", VLOOKUP(M941, NgachLuongData, 2, FALSE))</f>
      </c>
      <c r="AE941" s="0">
        <f>IF(N941="", "", VLOOKUP(N941, BacLuongData, 2, FALSE))</f>
      </c>
      <c r="AF941" s="0">
        <f>IF(P941="", "", VLOOKUP(P941, DanhSachCodeId, 3, FALSE))</f>
      </c>
    </row>
    <row r="942">
      <c r="A942" s="0">
        <f>IF(B942="", "", VLOOKUP(B942, DanhSachCodeId, 3, FALSE))</f>
      </c>
      <c r="C942" s="0">
        <f>IF(B942="", "", VLOOKUP(B942, DanhSachNhanVien, 2, FALSE))</f>
      </c>
      <c r="Q942" s="0">
        <f>IF(P942="", "", VLOOKUP(P942, DanhSachNhanVien, 2, FALSE))</f>
      </c>
      <c r="Z942" s="0">
        <f>IF(D942="", "", VLOOKUP(D942, DanhSachLoaiQuyetDinhRange, 2, FALSE))</f>
      </c>
      <c r="AA942" s="0">
        <f>IF(I942="", "", VLOOKUP(I942, DanhSachPhongBanRange, 2, FALSE))</f>
      </c>
      <c r="AB942" s="0">
        <f>IF(J942="", "", VLOOKUP(J942, DanhSachChucDanhRange, 2, FALSE))</f>
      </c>
      <c r="AC942" s="0">
        <f>IF(L942="", "", VLOOKUP(L942, ThangLuongData, 2, FALSE))</f>
      </c>
      <c r="AD942" s="0">
        <f>IF(M942="", "", VLOOKUP(M942, NgachLuongData, 2, FALSE))</f>
      </c>
      <c r="AE942" s="0">
        <f>IF(N942="", "", VLOOKUP(N942, BacLuongData, 2, FALSE))</f>
      </c>
      <c r="AF942" s="0">
        <f>IF(P942="", "", VLOOKUP(P942, DanhSachCodeId, 3, FALSE))</f>
      </c>
    </row>
    <row r="943">
      <c r="A943" s="0">
        <f>IF(B943="", "", VLOOKUP(B943, DanhSachCodeId, 3, FALSE))</f>
      </c>
      <c r="C943" s="0">
        <f>IF(B943="", "", VLOOKUP(B943, DanhSachNhanVien, 2, FALSE))</f>
      </c>
      <c r="Q943" s="0">
        <f>IF(P943="", "", VLOOKUP(P943, DanhSachNhanVien, 2, FALSE))</f>
      </c>
      <c r="Z943" s="0">
        <f>IF(D943="", "", VLOOKUP(D943, DanhSachLoaiQuyetDinhRange, 2, FALSE))</f>
      </c>
      <c r="AA943" s="0">
        <f>IF(I943="", "", VLOOKUP(I943, DanhSachPhongBanRange, 2, FALSE))</f>
      </c>
      <c r="AB943" s="0">
        <f>IF(J943="", "", VLOOKUP(J943, DanhSachChucDanhRange, 2, FALSE))</f>
      </c>
      <c r="AC943" s="0">
        <f>IF(L943="", "", VLOOKUP(L943, ThangLuongData, 2, FALSE))</f>
      </c>
      <c r="AD943" s="0">
        <f>IF(M943="", "", VLOOKUP(M943, NgachLuongData, 2, FALSE))</f>
      </c>
      <c r="AE943" s="0">
        <f>IF(N943="", "", VLOOKUP(N943, BacLuongData, 2, FALSE))</f>
      </c>
      <c r="AF943" s="0">
        <f>IF(P943="", "", VLOOKUP(P943, DanhSachCodeId, 3, FALSE))</f>
      </c>
    </row>
    <row r="944">
      <c r="A944" s="0">
        <f>IF(B944="", "", VLOOKUP(B944, DanhSachCodeId, 3, FALSE))</f>
      </c>
      <c r="C944" s="0">
        <f>IF(B944="", "", VLOOKUP(B944, DanhSachNhanVien, 2, FALSE))</f>
      </c>
      <c r="Q944" s="0">
        <f>IF(P944="", "", VLOOKUP(P944, DanhSachNhanVien, 2, FALSE))</f>
      </c>
      <c r="Z944" s="0">
        <f>IF(D944="", "", VLOOKUP(D944, DanhSachLoaiQuyetDinhRange, 2, FALSE))</f>
      </c>
      <c r="AA944" s="0">
        <f>IF(I944="", "", VLOOKUP(I944, DanhSachPhongBanRange, 2, FALSE))</f>
      </c>
      <c r="AB944" s="0">
        <f>IF(J944="", "", VLOOKUP(J944, DanhSachChucDanhRange, 2, FALSE))</f>
      </c>
      <c r="AC944" s="0">
        <f>IF(L944="", "", VLOOKUP(L944, ThangLuongData, 2, FALSE))</f>
      </c>
      <c r="AD944" s="0">
        <f>IF(M944="", "", VLOOKUP(M944, NgachLuongData, 2, FALSE))</f>
      </c>
      <c r="AE944" s="0">
        <f>IF(N944="", "", VLOOKUP(N944, BacLuongData, 2, FALSE))</f>
      </c>
      <c r="AF944" s="0">
        <f>IF(P944="", "", VLOOKUP(P944, DanhSachCodeId, 3, FALSE))</f>
      </c>
    </row>
    <row r="945">
      <c r="A945" s="0">
        <f>IF(B945="", "", VLOOKUP(B945, DanhSachCodeId, 3, FALSE))</f>
      </c>
      <c r="C945" s="0">
        <f>IF(B945="", "", VLOOKUP(B945, DanhSachNhanVien, 2, FALSE))</f>
      </c>
      <c r="Q945" s="0">
        <f>IF(P945="", "", VLOOKUP(P945, DanhSachNhanVien, 2, FALSE))</f>
      </c>
      <c r="Z945" s="0">
        <f>IF(D945="", "", VLOOKUP(D945, DanhSachLoaiQuyetDinhRange, 2, FALSE))</f>
      </c>
      <c r="AA945" s="0">
        <f>IF(I945="", "", VLOOKUP(I945, DanhSachPhongBanRange, 2, FALSE))</f>
      </c>
      <c r="AB945" s="0">
        <f>IF(J945="", "", VLOOKUP(J945, DanhSachChucDanhRange, 2, FALSE))</f>
      </c>
      <c r="AC945" s="0">
        <f>IF(L945="", "", VLOOKUP(L945, ThangLuongData, 2, FALSE))</f>
      </c>
      <c r="AD945" s="0">
        <f>IF(M945="", "", VLOOKUP(M945, NgachLuongData, 2, FALSE))</f>
      </c>
      <c r="AE945" s="0">
        <f>IF(N945="", "", VLOOKUP(N945, BacLuongData, 2, FALSE))</f>
      </c>
      <c r="AF945" s="0">
        <f>IF(P945="", "", VLOOKUP(P945, DanhSachCodeId, 3, FALSE))</f>
      </c>
    </row>
    <row r="946">
      <c r="A946" s="0">
        <f>IF(B946="", "", VLOOKUP(B946, DanhSachCodeId, 3, FALSE))</f>
      </c>
      <c r="C946" s="0">
        <f>IF(B946="", "", VLOOKUP(B946, DanhSachNhanVien, 2, FALSE))</f>
      </c>
      <c r="Q946" s="0">
        <f>IF(P946="", "", VLOOKUP(P946, DanhSachNhanVien, 2, FALSE))</f>
      </c>
      <c r="Z946" s="0">
        <f>IF(D946="", "", VLOOKUP(D946, DanhSachLoaiQuyetDinhRange, 2, FALSE))</f>
      </c>
      <c r="AA946" s="0">
        <f>IF(I946="", "", VLOOKUP(I946, DanhSachPhongBanRange, 2, FALSE))</f>
      </c>
      <c r="AB946" s="0">
        <f>IF(J946="", "", VLOOKUP(J946, DanhSachChucDanhRange, 2, FALSE))</f>
      </c>
      <c r="AC946" s="0">
        <f>IF(L946="", "", VLOOKUP(L946, ThangLuongData, 2, FALSE))</f>
      </c>
      <c r="AD946" s="0">
        <f>IF(M946="", "", VLOOKUP(M946, NgachLuongData, 2, FALSE))</f>
      </c>
      <c r="AE946" s="0">
        <f>IF(N946="", "", VLOOKUP(N946, BacLuongData, 2, FALSE))</f>
      </c>
      <c r="AF946" s="0">
        <f>IF(P946="", "", VLOOKUP(P946, DanhSachCodeId, 3, FALSE))</f>
      </c>
    </row>
    <row r="947">
      <c r="A947" s="0">
        <f>IF(B947="", "", VLOOKUP(B947, DanhSachCodeId, 3, FALSE))</f>
      </c>
      <c r="C947" s="0">
        <f>IF(B947="", "", VLOOKUP(B947, DanhSachNhanVien, 2, FALSE))</f>
      </c>
      <c r="Q947" s="0">
        <f>IF(P947="", "", VLOOKUP(P947, DanhSachNhanVien, 2, FALSE))</f>
      </c>
      <c r="Z947" s="0">
        <f>IF(D947="", "", VLOOKUP(D947, DanhSachLoaiQuyetDinhRange, 2, FALSE))</f>
      </c>
      <c r="AA947" s="0">
        <f>IF(I947="", "", VLOOKUP(I947, DanhSachPhongBanRange, 2, FALSE))</f>
      </c>
      <c r="AB947" s="0">
        <f>IF(J947="", "", VLOOKUP(J947, DanhSachChucDanhRange, 2, FALSE))</f>
      </c>
      <c r="AC947" s="0">
        <f>IF(L947="", "", VLOOKUP(L947, ThangLuongData, 2, FALSE))</f>
      </c>
      <c r="AD947" s="0">
        <f>IF(M947="", "", VLOOKUP(M947, NgachLuongData, 2, FALSE))</f>
      </c>
      <c r="AE947" s="0">
        <f>IF(N947="", "", VLOOKUP(N947, BacLuongData, 2, FALSE))</f>
      </c>
      <c r="AF947" s="0">
        <f>IF(P947="", "", VLOOKUP(P947, DanhSachCodeId, 3, FALSE))</f>
      </c>
    </row>
    <row r="948">
      <c r="A948" s="0">
        <f>IF(B948="", "", VLOOKUP(B948, DanhSachCodeId, 3, FALSE))</f>
      </c>
      <c r="C948" s="0">
        <f>IF(B948="", "", VLOOKUP(B948, DanhSachNhanVien, 2, FALSE))</f>
      </c>
      <c r="Q948" s="0">
        <f>IF(P948="", "", VLOOKUP(P948, DanhSachNhanVien, 2, FALSE))</f>
      </c>
      <c r="Z948" s="0">
        <f>IF(D948="", "", VLOOKUP(D948, DanhSachLoaiQuyetDinhRange, 2, FALSE))</f>
      </c>
      <c r="AA948" s="0">
        <f>IF(I948="", "", VLOOKUP(I948, DanhSachPhongBanRange, 2, FALSE))</f>
      </c>
      <c r="AB948" s="0">
        <f>IF(J948="", "", VLOOKUP(J948, DanhSachChucDanhRange, 2, FALSE))</f>
      </c>
      <c r="AC948" s="0">
        <f>IF(L948="", "", VLOOKUP(L948, ThangLuongData, 2, FALSE))</f>
      </c>
      <c r="AD948" s="0">
        <f>IF(M948="", "", VLOOKUP(M948, NgachLuongData, 2, FALSE))</f>
      </c>
      <c r="AE948" s="0">
        <f>IF(N948="", "", VLOOKUP(N948, BacLuongData, 2, FALSE))</f>
      </c>
      <c r="AF948" s="0">
        <f>IF(P948="", "", VLOOKUP(P948, DanhSachCodeId, 3, FALSE))</f>
      </c>
    </row>
    <row r="949">
      <c r="A949" s="0">
        <f>IF(B949="", "", VLOOKUP(B949, DanhSachCodeId, 3, FALSE))</f>
      </c>
      <c r="C949" s="0">
        <f>IF(B949="", "", VLOOKUP(B949, DanhSachNhanVien, 2, FALSE))</f>
      </c>
      <c r="Q949" s="0">
        <f>IF(P949="", "", VLOOKUP(P949, DanhSachNhanVien, 2, FALSE))</f>
      </c>
      <c r="Z949" s="0">
        <f>IF(D949="", "", VLOOKUP(D949, DanhSachLoaiQuyetDinhRange, 2, FALSE))</f>
      </c>
      <c r="AA949" s="0">
        <f>IF(I949="", "", VLOOKUP(I949, DanhSachPhongBanRange, 2, FALSE))</f>
      </c>
      <c r="AB949" s="0">
        <f>IF(J949="", "", VLOOKUP(J949, DanhSachChucDanhRange, 2, FALSE))</f>
      </c>
      <c r="AC949" s="0">
        <f>IF(L949="", "", VLOOKUP(L949, ThangLuongData, 2, FALSE))</f>
      </c>
      <c r="AD949" s="0">
        <f>IF(M949="", "", VLOOKUP(M949, NgachLuongData, 2, FALSE))</f>
      </c>
      <c r="AE949" s="0">
        <f>IF(N949="", "", VLOOKUP(N949, BacLuongData, 2, FALSE))</f>
      </c>
      <c r="AF949" s="0">
        <f>IF(P949="", "", VLOOKUP(P949, DanhSachCodeId, 3, FALSE))</f>
      </c>
    </row>
    <row r="950">
      <c r="A950" s="0">
        <f>IF(B950="", "", VLOOKUP(B950, DanhSachCodeId, 3, FALSE))</f>
      </c>
      <c r="C950" s="0">
        <f>IF(B950="", "", VLOOKUP(B950, DanhSachNhanVien, 2, FALSE))</f>
      </c>
      <c r="Q950" s="0">
        <f>IF(P950="", "", VLOOKUP(P950, DanhSachNhanVien, 2, FALSE))</f>
      </c>
      <c r="Z950" s="0">
        <f>IF(D950="", "", VLOOKUP(D950, DanhSachLoaiQuyetDinhRange, 2, FALSE))</f>
      </c>
      <c r="AA950" s="0">
        <f>IF(I950="", "", VLOOKUP(I950, DanhSachPhongBanRange, 2, FALSE))</f>
      </c>
      <c r="AB950" s="0">
        <f>IF(J950="", "", VLOOKUP(J950, DanhSachChucDanhRange, 2, FALSE))</f>
      </c>
      <c r="AC950" s="0">
        <f>IF(L950="", "", VLOOKUP(L950, ThangLuongData, 2, FALSE))</f>
      </c>
      <c r="AD950" s="0">
        <f>IF(M950="", "", VLOOKUP(M950, NgachLuongData, 2, FALSE))</f>
      </c>
      <c r="AE950" s="0">
        <f>IF(N950="", "", VLOOKUP(N950, BacLuongData, 2, FALSE))</f>
      </c>
      <c r="AF950" s="0">
        <f>IF(P950="", "", VLOOKUP(P950, DanhSachCodeId, 3, FALSE))</f>
      </c>
    </row>
    <row r="951">
      <c r="A951" s="0">
        <f>IF(B951="", "", VLOOKUP(B951, DanhSachCodeId, 3, FALSE))</f>
      </c>
      <c r="C951" s="0">
        <f>IF(B951="", "", VLOOKUP(B951, DanhSachNhanVien, 2, FALSE))</f>
      </c>
      <c r="Q951" s="0">
        <f>IF(P951="", "", VLOOKUP(P951, DanhSachNhanVien, 2, FALSE))</f>
      </c>
      <c r="Z951" s="0">
        <f>IF(D951="", "", VLOOKUP(D951, DanhSachLoaiQuyetDinhRange, 2, FALSE))</f>
      </c>
      <c r="AA951" s="0">
        <f>IF(I951="", "", VLOOKUP(I951, DanhSachPhongBanRange, 2, FALSE))</f>
      </c>
      <c r="AB951" s="0">
        <f>IF(J951="", "", VLOOKUP(J951, DanhSachChucDanhRange, 2, FALSE))</f>
      </c>
      <c r="AC951" s="0">
        <f>IF(L951="", "", VLOOKUP(L951, ThangLuongData, 2, FALSE))</f>
      </c>
      <c r="AD951" s="0">
        <f>IF(M951="", "", VLOOKUP(M951, NgachLuongData, 2, FALSE))</f>
      </c>
      <c r="AE951" s="0">
        <f>IF(N951="", "", VLOOKUP(N951, BacLuongData, 2, FALSE))</f>
      </c>
      <c r="AF951" s="0">
        <f>IF(P951="", "", VLOOKUP(P951, DanhSachCodeId, 3, FALSE))</f>
      </c>
    </row>
    <row r="952">
      <c r="A952" s="0">
        <f>IF(B952="", "", VLOOKUP(B952, DanhSachCodeId, 3, FALSE))</f>
      </c>
      <c r="C952" s="0">
        <f>IF(B952="", "", VLOOKUP(B952, DanhSachNhanVien, 2, FALSE))</f>
      </c>
      <c r="Q952" s="0">
        <f>IF(P952="", "", VLOOKUP(P952, DanhSachNhanVien, 2, FALSE))</f>
      </c>
      <c r="Z952" s="0">
        <f>IF(D952="", "", VLOOKUP(D952, DanhSachLoaiQuyetDinhRange, 2, FALSE))</f>
      </c>
      <c r="AA952" s="0">
        <f>IF(I952="", "", VLOOKUP(I952, DanhSachPhongBanRange, 2, FALSE))</f>
      </c>
      <c r="AB952" s="0">
        <f>IF(J952="", "", VLOOKUP(J952, DanhSachChucDanhRange, 2, FALSE))</f>
      </c>
      <c r="AC952" s="0">
        <f>IF(L952="", "", VLOOKUP(L952, ThangLuongData, 2, FALSE))</f>
      </c>
      <c r="AD952" s="0">
        <f>IF(M952="", "", VLOOKUP(M952, NgachLuongData, 2, FALSE))</f>
      </c>
      <c r="AE952" s="0">
        <f>IF(N952="", "", VLOOKUP(N952, BacLuongData, 2, FALSE))</f>
      </c>
      <c r="AF952" s="0">
        <f>IF(P952="", "", VLOOKUP(P952, DanhSachCodeId, 3, FALSE))</f>
      </c>
    </row>
    <row r="953">
      <c r="A953" s="0">
        <f>IF(B953="", "", VLOOKUP(B953, DanhSachCodeId, 3, FALSE))</f>
      </c>
      <c r="C953" s="0">
        <f>IF(B953="", "", VLOOKUP(B953, DanhSachNhanVien, 2, FALSE))</f>
      </c>
      <c r="Q953" s="0">
        <f>IF(P953="", "", VLOOKUP(P953, DanhSachNhanVien, 2, FALSE))</f>
      </c>
      <c r="Z953" s="0">
        <f>IF(D953="", "", VLOOKUP(D953, DanhSachLoaiQuyetDinhRange, 2, FALSE))</f>
      </c>
      <c r="AA953" s="0">
        <f>IF(I953="", "", VLOOKUP(I953, DanhSachPhongBanRange, 2, FALSE))</f>
      </c>
      <c r="AB953" s="0">
        <f>IF(J953="", "", VLOOKUP(J953, DanhSachChucDanhRange, 2, FALSE))</f>
      </c>
      <c r="AC953" s="0">
        <f>IF(L953="", "", VLOOKUP(L953, ThangLuongData, 2, FALSE))</f>
      </c>
      <c r="AD953" s="0">
        <f>IF(M953="", "", VLOOKUP(M953, NgachLuongData, 2, FALSE))</f>
      </c>
      <c r="AE953" s="0">
        <f>IF(N953="", "", VLOOKUP(N953, BacLuongData, 2, FALSE))</f>
      </c>
      <c r="AF953" s="0">
        <f>IF(P953="", "", VLOOKUP(P953, DanhSachCodeId, 3, FALSE))</f>
      </c>
    </row>
    <row r="954">
      <c r="A954" s="0">
        <f>IF(B954="", "", VLOOKUP(B954, DanhSachCodeId, 3, FALSE))</f>
      </c>
      <c r="C954" s="0">
        <f>IF(B954="", "", VLOOKUP(B954, DanhSachNhanVien, 2, FALSE))</f>
      </c>
      <c r="Q954" s="0">
        <f>IF(P954="", "", VLOOKUP(P954, DanhSachNhanVien, 2, FALSE))</f>
      </c>
      <c r="Z954" s="0">
        <f>IF(D954="", "", VLOOKUP(D954, DanhSachLoaiQuyetDinhRange, 2, FALSE))</f>
      </c>
      <c r="AA954" s="0">
        <f>IF(I954="", "", VLOOKUP(I954, DanhSachPhongBanRange, 2, FALSE))</f>
      </c>
      <c r="AB954" s="0">
        <f>IF(J954="", "", VLOOKUP(J954, DanhSachChucDanhRange, 2, FALSE))</f>
      </c>
      <c r="AC954" s="0">
        <f>IF(L954="", "", VLOOKUP(L954, ThangLuongData, 2, FALSE))</f>
      </c>
      <c r="AD954" s="0">
        <f>IF(M954="", "", VLOOKUP(M954, NgachLuongData, 2, FALSE))</f>
      </c>
      <c r="AE954" s="0">
        <f>IF(N954="", "", VLOOKUP(N954, BacLuongData, 2, FALSE))</f>
      </c>
      <c r="AF954" s="0">
        <f>IF(P954="", "", VLOOKUP(P954, DanhSachCodeId, 3, FALSE))</f>
      </c>
    </row>
    <row r="955">
      <c r="A955" s="0">
        <f>IF(B955="", "", VLOOKUP(B955, DanhSachCodeId, 3, FALSE))</f>
      </c>
      <c r="C955" s="0">
        <f>IF(B955="", "", VLOOKUP(B955, DanhSachNhanVien, 2, FALSE))</f>
      </c>
      <c r="Q955" s="0">
        <f>IF(P955="", "", VLOOKUP(P955, DanhSachNhanVien, 2, FALSE))</f>
      </c>
      <c r="Z955" s="0">
        <f>IF(D955="", "", VLOOKUP(D955, DanhSachLoaiQuyetDinhRange, 2, FALSE))</f>
      </c>
      <c r="AA955" s="0">
        <f>IF(I955="", "", VLOOKUP(I955, DanhSachPhongBanRange, 2, FALSE))</f>
      </c>
      <c r="AB955" s="0">
        <f>IF(J955="", "", VLOOKUP(J955, DanhSachChucDanhRange, 2, FALSE))</f>
      </c>
      <c r="AC955" s="0">
        <f>IF(L955="", "", VLOOKUP(L955, ThangLuongData, 2, FALSE))</f>
      </c>
      <c r="AD955" s="0">
        <f>IF(M955="", "", VLOOKUP(M955, NgachLuongData, 2, FALSE))</f>
      </c>
      <c r="AE955" s="0">
        <f>IF(N955="", "", VLOOKUP(N955, BacLuongData, 2, FALSE))</f>
      </c>
      <c r="AF955" s="0">
        <f>IF(P955="", "", VLOOKUP(P955, DanhSachCodeId, 3, FALSE))</f>
      </c>
    </row>
    <row r="956">
      <c r="A956" s="0">
        <f>IF(B956="", "", VLOOKUP(B956, DanhSachCodeId, 3, FALSE))</f>
      </c>
      <c r="C956" s="0">
        <f>IF(B956="", "", VLOOKUP(B956, DanhSachNhanVien, 2, FALSE))</f>
      </c>
      <c r="Q956" s="0">
        <f>IF(P956="", "", VLOOKUP(P956, DanhSachNhanVien, 2, FALSE))</f>
      </c>
      <c r="Z956" s="0">
        <f>IF(D956="", "", VLOOKUP(D956, DanhSachLoaiQuyetDinhRange, 2, FALSE))</f>
      </c>
      <c r="AA956" s="0">
        <f>IF(I956="", "", VLOOKUP(I956, DanhSachPhongBanRange, 2, FALSE))</f>
      </c>
      <c r="AB956" s="0">
        <f>IF(J956="", "", VLOOKUP(J956, DanhSachChucDanhRange, 2, FALSE))</f>
      </c>
      <c r="AC956" s="0">
        <f>IF(L956="", "", VLOOKUP(L956, ThangLuongData, 2, FALSE))</f>
      </c>
      <c r="AD956" s="0">
        <f>IF(M956="", "", VLOOKUP(M956, NgachLuongData, 2, FALSE))</f>
      </c>
      <c r="AE956" s="0">
        <f>IF(N956="", "", VLOOKUP(N956, BacLuongData, 2, FALSE))</f>
      </c>
      <c r="AF956" s="0">
        <f>IF(P956="", "", VLOOKUP(P956, DanhSachCodeId, 3, FALSE))</f>
      </c>
    </row>
    <row r="957">
      <c r="A957" s="0">
        <f>IF(B957="", "", VLOOKUP(B957, DanhSachCodeId, 3, FALSE))</f>
      </c>
      <c r="C957" s="0">
        <f>IF(B957="", "", VLOOKUP(B957, DanhSachNhanVien, 2, FALSE))</f>
      </c>
      <c r="Q957" s="0">
        <f>IF(P957="", "", VLOOKUP(P957, DanhSachNhanVien, 2, FALSE))</f>
      </c>
      <c r="Z957" s="0">
        <f>IF(D957="", "", VLOOKUP(D957, DanhSachLoaiQuyetDinhRange, 2, FALSE))</f>
      </c>
      <c r="AA957" s="0">
        <f>IF(I957="", "", VLOOKUP(I957, DanhSachPhongBanRange, 2, FALSE))</f>
      </c>
      <c r="AB957" s="0">
        <f>IF(J957="", "", VLOOKUP(J957, DanhSachChucDanhRange, 2, FALSE))</f>
      </c>
      <c r="AC957" s="0">
        <f>IF(L957="", "", VLOOKUP(L957, ThangLuongData, 2, FALSE))</f>
      </c>
      <c r="AD957" s="0">
        <f>IF(M957="", "", VLOOKUP(M957, NgachLuongData, 2, FALSE))</f>
      </c>
      <c r="AE957" s="0">
        <f>IF(N957="", "", VLOOKUP(N957, BacLuongData, 2, FALSE))</f>
      </c>
      <c r="AF957" s="0">
        <f>IF(P957="", "", VLOOKUP(P957, DanhSachCodeId, 3, FALSE))</f>
      </c>
    </row>
    <row r="958">
      <c r="A958" s="0">
        <f>IF(B958="", "", VLOOKUP(B958, DanhSachCodeId, 3, FALSE))</f>
      </c>
      <c r="C958" s="0">
        <f>IF(B958="", "", VLOOKUP(B958, DanhSachNhanVien, 2, FALSE))</f>
      </c>
      <c r="Q958" s="0">
        <f>IF(P958="", "", VLOOKUP(P958, DanhSachNhanVien, 2, FALSE))</f>
      </c>
      <c r="Z958" s="0">
        <f>IF(D958="", "", VLOOKUP(D958, DanhSachLoaiQuyetDinhRange, 2, FALSE))</f>
      </c>
      <c r="AA958" s="0">
        <f>IF(I958="", "", VLOOKUP(I958, DanhSachPhongBanRange, 2, FALSE))</f>
      </c>
      <c r="AB958" s="0">
        <f>IF(J958="", "", VLOOKUP(J958, DanhSachChucDanhRange, 2, FALSE))</f>
      </c>
      <c r="AC958" s="0">
        <f>IF(L958="", "", VLOOKUP(L958, ThangLuongData, 2, FALSE))</f>
      </c>
      <c r="AD958" s="0">
        <f>IF(M958="", "", VLOOKUP(M958, NgachLuongData, 2, FALSE))</f>
      </c>
      <c r="AE958" s="0">
        <f>IF(N958="", "", VLOOKUP(N958, BacLuongData, 2, FALSE))</f>
      </c>
      <c r="AF958" s="0">
        <f>IF(P958="", "", VLOOKUP(P958, DanhSachCodeId, 3, FALSE))</f>
      </c>
    </row>
    <row r="959">
      <c r="A959" s="0">
        <f>IF(B959="", "", VLOOKUP(B959, DanhSachCodeId, 3, FALSE))</f>
      </c>
      <c r="C959" s="0">
        <f>IF(B959="", "", VLOOKUP(B959, DanhSachNhanVien, 2, FALSE))</f>
      </c>
      <c r="Q959" s="0">
        <f>IF(P959="", "", VLOOKUP(P959, DanhSachNhanVien, 2, FALSE))</f>
      </c>
      <c r="Z959" s="0">
        <f>IF(D959="", "", VLOOKUP(D959, DanhSachLoaiQuyetDinhRange, 2, FALSE))</f>
      </c>
      <c r="AA959" s="0">
        <f>IF(I959="", "", VLOOKUP(I959, DanhSachPhongBanRange, 2, FALSE))</f>
      </c>
      <c r="AB959" s="0">
        <f>IF(J959="", "", VLOOKUP(J959, DanhSachChucDanhRange, 2, FALSE))</f>
      </c>
      <c r="AC959" s="0">
        <f>IF(L959="", "", VLOOKUP(L959, ThangLuongData, 2, FALSE))</f>
      </c>
      <c r="AD959" s="0">
        <f>IF(M959="", "", VLOOKUP(M959, NgachLuongData, 2, FALSE))</f>
      </c>
      <c r="AE959" s="0">
        <f>IF(N959="", "", VLOOKUP(N959, BacLuongData, 2, FALSE))</f>
      </c>
      <c r="AF959" s="0">
        <f>IF(P959="", "", VLOOKUP(P959, DanhSachCodeId, 3, FALSE))</f>
      </c>
    </row>
    <row r="960">
      <c r="A960" s="0">
        <f>IF(B960="", "", VLOOKUP(B960, DanhSachCodeId, 3, FALSE))</f>
      </c>
      <c r="C960" s="0">
        <f>IF(B960="", "", VLOOKUP(B960, DanhSachNhanVien, 2, FALSE))</f>
      </c>
      <c r="Q960" s="0">
        <f>IF(P960="", "", VLOOKUP(P960, DanhSachNhanVien, 2, FALSE))</f>
      </c>
      <c r="Z960" s="0">
        <f>IF(D960="", "", VLOOKUP(D960, DanhSachLoaiQuyetDinhRange, 2, FALSE))</f>
      </c>
      <c r="AA960" s="0">
        <f>IF(I960="", "", VLOOKUP(I960, DanhSachPhongBanRange, 2, FALSE))</f>
      </c>
      <c r="AB960" s="0">
        <f>IF(J960="", "", VLOOKUP(J960, DanhSachChucDanhRange, 2, FALSE))</f>
      </c>
      <c r="AC960" s="0">
        <f>IF(L960="", "", VLOOKUP(L960, ThangLuongData, 2, FALSE))</f>
      </c>
      <c r="AD960" s="0">
        <f>IF(M960="", "", VLOOKUP(M960, NgachLuongData, 2, FALSE))</f>
      </c>
      <c r="AE960" s="0">
        <f>IF(N960="", "", VLOOKUP(N960, BacLuongData, 2, FALSE))</f>
      </c>
      <c r="AF960" s="0">
        <f>IF(P960="", "", VLOOKUP(P960, DanhSachCodeId, 3, FALSE))</f>
      </c>
    </row>
    <row r="961">
      <c r="A961" s="0">
        <f>IF(B961="", "", VLOOKUP(B961, DanhSachCodeId, 3, FALSE))</f>
      </c>
      <c r="C961" s="0">
        <f>IF(B961="", "", VLOOKUP(B961, DanhSachNhanVien, 2, FALSE))</f>
      </c>
      <c r="Q961" s="0">
        <f>IF(P961="", "", VLOOKUP(P961, DanhSachNhanVien, 2, FALSE))</f>
      </c>
      <c r="Z961" s="0">
        <f>IF(D961="", "", VLOOKUP(D961, DanhSachLoaiQuyetDinhRange, 2, FALSE))</f>
      </c>
      <c r="AA961" s="0">
        <f>IF(I961="", "", VLOOKUP(I961, DanhSachPhongBanRange, 2, FALSE))</f>
      </c>
      <c r="AB961" s="0">
        <f>IF(J961="", "", VLOOKUP(J961, DanhSachChucDanhRange, 2, FALSE))</f>
      </c>
      <c r="AC961" s="0">
        <f>IF(L961="", "", VLOOKUP(L961, ThangLuongData, 2, FALSE))</f>
      </c>
      <c r="AD961" s="0">
        <f>IF(M961="", "", VLOOKUP(M961, NgachLuongData, 2, FALSE))</f>
      </c>
      <c r="AE961" s="0">
        <f>IF(N961="", "", VLOOKUP(N961, BacLuongData, 2, FALSE))</f>
      </c>
      <c r="AF961" s="0">
        <f>IF(P961="", "", VLOOKUP(P961, DanhSachCodeId, 3, FALSE))</f>
      </c>
    </row>
    <row r="962">
      <c r="A962" s="0">
        <f>IF(B962="", "", VLOOKUP(B962, DanhSachCodeId, 3, FALSE))</f>
      </c>
      <c r="C962" s="0">
        <f>IF(B962="", "", VLOOKUP(B962, DanhSachNhanVien, 2, FALSE))</f>
      </c>
      <c r="Q962" s="0">
        <f>IF(P962="", "", VLOOKUP(P962, DanhSachNhanVien, 2, FALSE))</f>
      </c>
      <c r="Z962" s="0">
        <f>IF(D962="", "", VLOOKUP(D962, DanhSachLoaiQuyetDinhRange, 2, FALSE))</f>
      </c>
      <c r="AA962" s="0">
        <f>IF(I962="", "", VLOOKUP(I962, DanhSachPhongBanRange, 2, FALSE))</f>
      </c>
      <c r="AB962" s="0">
        <f>IF(J962="", "", VLOOKUP(J962, DanhSachChucDanhRange, 2, FALSE))</f>
      </c>
      <c r="AC962" s="0">
        <f>IF(L962="", "", VLOOKUP(L962, ThangLuongData, 2, FALSE))</f>
      </c>
      <c r="AD962" s="0">
        <f>IF(M962="", "", VLOOKUP(M962, NgachLuongData, 2, FALSE))</f>
      </c>
      <c r="AE962" s="0">
        <f>IF(N962="", "", VLOOKUP(N962, BacLuongData, 2, FALSE))</f>
      </c>
      <c r="AF962" s="0">
        <f>IF(P962="", "", VLOOKUP(P962, DanhSachCodeId, 3, FALSE))</f>
      </c>
    </row>
    <row r="963">
      <c r="A963" s="0">
        <f>IF(B963="", "", VLOOKUP(B963, DanhSachCodeId, 3, FALSE))</f>
      </c>
      <c r="C963" s="0">
        <f>IF(B963="", "", VLOOKUP(B963, DanhSachNhanVien, 2, FALSE))</f>
      </c>
      <c r="Q963" s="0">
        <f>IF(P963="", "", VLOOKUP(P963, DanhSachNhanVien, 2, FALSE))</f>
      </c>
      <c r="Z963" s="0">
        <f>IF(D963="", "", VLOOKUP(D963, DanhSachLoaiQuyetDinhRange, 2, FALSE))</f>
      </c>
      <c r="AA963" s="0">
        <f>IF(I963="", "", VLOOKUP(I963, DanhSachPhongBanRange, 2, FALSE))</f>
      </c>
      <c r="AB963" s="0">
        <f>IF(J963="", "", VLOOKUP(J963, DanhSachChucDanhRange, 2, FALSE))</f>
      </c>
      <c r="AC963" s="0">
        <f>IF(L963="", "", VLOOKUP(L963, ThangLuongData, 2, FALSE))</f>
      </c>
      <c r="AD963" s="0">
        <f>IF(M963="", "", VLOOKUP(M963, NgachLuongData, 2, FALSE))</f>
      </c>
      <c r="AE963" s="0">
        <f>IF(N963="", "", VLOOKUP(N963, BacLuongData, 2, FALSE))</f>
      </c>
      <c r="AF963" s="0">
        <f>IF(P963="", "", VLOOKUP(P963, DanhSachCodeId, 3, FALSE))</f>
      </c>
    </row>
    <row r="964">
      <c r="A964" s="0">
        <f>IF(B964="", "", VLOOKUP(B964, DanhSachCodeId, 3, FALSE))</f>
      </c>
      <c r="C964" s="0">
        <f>IF(B964="", "", VLOOKUP(B964, DanhSachNhanVien, 2, FALSE))</f>
      </c>
      <c r="Q964" s="0">
        <f>IF(P964="", "", VLOOKUP(P964, DanhSachNhanVien, 2, FALSE))</f>
      </c>
      <c r="Z964" s="0">
        <f>IF(D964="", "", VLOOKUP(D964, DanhSachLoaiQuyetDinhRange, 2, FALSE))</f>
      </c>
      <c r="AA964" s="0">
        <f>IF(I964="", "", VLOOKUP(I964, DanhSachPhongBanRange, 2, FALSE))</f>
      </c>
      <c r="AB964" s="0">
        <f>IF(J964="", "", VLOOKUP(J964, DanhSachChucDanhRange, 2, FALSE))</f>
      </c>
      <c r="AC964" s="0">
        <f>IF(L964="", "", VLOOKUP(L964, ThangLuongData, 2, FALSE))</f>
      </c>
      <c r="AD964" s="0">
        <f>IF(M964="", "", VLOOKUP(M964, NgachLuongData, 2, FALSE))</f>
      </c>
      <c r="AE964" s="0">
        <f>IF(N964="", "", VLOOKUP(N964, BacLuongData, 2, FALSE))</f>
      </c>
      <c r="AF964" s="0">
        <f>IF(P964="", "", VLOOKUP(P964, DanhSachCodeId, 3, FALSE))</f>
      </c>
    </row>
    <row r="965">
      <c r="A965" s="0">
        <f>IF(B965="", "", VLOOKUP(B965, DanhSachCodeId, 3, FALSE))</f>
      </c>
      <c r="C965" s="0">
        <f>IF(B965="", "", VLOOKUP(B965, DanhSachNhanVien, 2, FALSE))</f>
      </c>
      <c r="Q965" s="0">
        <f>IF(P965="", "", VLOOKUP(P965, DanhSachNhanVien, 2, FALSE))</f>
      </c>
      <c r="Z965" s="0">
        <f>IF(D965="", "", VLOOKUP(D965, DanhSachLoaiQuyetDinhRange, 2, FALSE))</f>
      </c>
      <c r="AA965" s="0">
        <f>IF(I965="", "", VLOOKUP(I965, DanhSachPhongBanRange, 2, FALSE))</f>
      </c>
      <c r="AB965" s="0">
        <f>IF(J965="", "", VLOOKUP(J965, DanhSachChucDanhRange, 2, FALSE))</f>
      </c>
      <c r="AC965" s="0">
        <f>IF(L965="", "", VLOOKUP(L965, ThangLuongData, 2, FALSE))</f>
      </c>
      <c r="AD965" s="0">
        <f>IF(M965="", "", VLOOKUP(M965, NgachLuongData, 2, FALSE))</f>
      </c>
      <c r="AE965" s="0">
        <f>IF(N965="", "", VLOOKUP(N965, BacLuongData, 2, FALSE))</f>
      </c>
      <c r="AF965" s="0">
        <f>IF(P965="", "", VLOOKUP(P965, DanhSachCodeId, 3, FALSE))</f>
      </c>
    </row>
    <row r="966">
      <c r="A966" s="0">
        <f>IF(B966="", "", VLOOKUP(B966, DanhSachCodeId, 3, FALSE))</f>
      </c>
      <c r="C966" s="0">
        <f>IF(B966="", "", VLOOKUP(B966, DanhSachNhanVien, 2, FALSE))</f>
      </c>
      <c r="Q966" s="0">
        <f>IF(P966="", "", VLOOKUP(P966, DanhSachNhanVien, 2, FALSE))</f>
      </c>
      <c r="Z966" s="0">
        <f>IF(D966="", "", VLOOKUP(D966, DanhSachLoaiQuyetDinhRange, 2, FALSE))</f>
      </c>
      <c r="AA966" s="0">
        <f>IF(I966="", "", VLOOKUP(I966, DanhSachPhongBanRange, 2, FALSE))</f>
      </c>
      <c r="AB966" s="0">
        <f>IF(J966="", "", VLOOKUP(J966, DanhSachChucDanhRange, 2, FALSE))</f>
      </c>
      <c r="AC966" s="0">
        <f>IF(L966="", "", VLOOKUP(L966, ThangLuongData, 2, FALSE))</f>
      </c>
      <c r="AD966" s="0">
        <f>IF(M966="", "", VLOOKUP(M966, NgachLuongData, 2, FALSE))</f>
      </c>
      <c r="AE966" s="0">
        <f>IF(N966="", "", VLOOKUP(N966, BacLuongData, 2, FALSE))</f>
      </c>
      <c r="AF966" s="0">
        <f>IF(P966="", "", VLOOKUP(P966, DanhSachCodeId, 3, FALSE))</f>
      </c>
    </row>
    <row r="967">
      <c r="A967" s="0">
        <f>IF(B967="", "", VLOOKUP(B967, DanhSachCodeId, 3, FALSE))</f>
      </c>
      <c r="C967" s="0">
        <f>IF(B967="", "", VLOOKUP(B967, DanhSachNhanVien, 2, FALSE))</f>
      </c>
      <c r="Q967" s="0">
        <f>IF(P967="", "", VLOOKUP(P967, DanhSachNhanVien, 2, FALSE))</f>
      </c>
      <c r="Z967" s="0">
        <f>IF(D967="", "", VLOOKUP(D967, DanhSachLoaiQuyetDinhRange, 2, FALSE))</f>
      </c>
      <c r="AA967" s="0">
        <f>IF(I967="", "", VLOOKUP(I967, DanhSachPhongBanRange, 2, FALSE))</f>
      </c>
      <c r="AB967" s="0">
        <f>IF(J967="", "", VLOOKUP(J967, DanhSachChucDanhRange, 2, FALSE))</f>
      </c>
      <c r="AC967" s="0">
        <f>IF(L967="", "", VLOOKUP(L967, ThangLuongData, 2, FALSE))</f>
      </c>
      <c r="AD967" s="0">
        <f>IF(M967="", "", VLOOKUP(M967, NgachLuongData, 2, FALSE))</f>
      </c>
      <c r="AE967" s="0">
        <f>IF(N967="", "", VLOOKUP(N967, BacLuongData, 2, FALSE))</f>
      </c>
      <c r="AF967" s="0">
        <f>IF(P967="", "", VLOOKUP(P967, DanhSachCodeId, 3, FALSE))</f>
      </c>
    </row>
    <row r="968">
      <c r="A968" s="0">
        <f>IF(B968="", "", VLOOKUP(B968, DanhSachCodeId, 3, FALSE))</f>
      </c>
      <c r="C968" s="0">
        <f>IF(B968="", "", VLOOKUP(B968, DanhSachNhanVien, 2, FALSE))</f>
      </c>
      <c r="Q968" s="0">
        <f>IF(P968="", "", VLOOKUP(P968, DanhSachNhanVien, 2, FALSE))</f>
      </c>
      <c r="Z968" s="0">
        <f>IF(D968="", "", VLOOKUP(D968, DanhSachLoaiQuyetDinhRange, 2, FALSE))</f>
      </c>
      <c r="AA968" s="0">
        <f>IF(I968="", "", VLOOKUP(I968, DanhSachPhongBanRange, 2, FALSE))</f>
      </c>
      <c r="AB968" s="0">
        <f>IF(J968="", "", VLOOKUP(J968, DanhSachChucDanhRange, 2, FALSE))</f>
      </c>
      <c r="AC968" s="0">
        <f>IF(L968="", "", VLOOKUP(L968, ThangLuongData, 2, FALSE))</f>
      </c>
      <c r="AD968" s="0">
        <f>IF(M968="", "", VLOOKUP(M968, NgachLuongData, 2, FALSE))</f>
      </c>
      <c r="AE968" s="0">
        <f>IF(N968="", "", VLOOKUP(N968, BacLuongData, 2, FALSE))</f>
      </c>
      <c r="AF968" s="0">
        <f>IF(P968="", "", VLOOKUP(P968, DanhSachCodeId, 3, FALSE))</f>
      </c>
    </row>
    <row r="969">
      <c r="A969" s="0">
        <f>IF(B969="", "", VLOOKUP(B969, DanhSachCodeId, 3, FALSE))</f>
      </c>
      <c r="C969" s="0">
        <f>IF(B969="", "", VLOOKUP(B969, DanhSachNhanVien, 2, FALSE))</f>
      </c>
      <c r="Q969" s="0">
        <f>IF(P969="", "", VLOOKUP(P969, DanhSachNhanVien, 2, FALSE))</f>
      </c>
      <c r="Z969" s="0">
        <f>IF(D969="", "", VLOOKUP(D969, DanhSachLoaiQuyetDinhRange, 2, FALSE))</f>
      </c>
      <c r="AA969" s="0">
        <f>IF(I969="", "", VLOOKUP(I969, DanhSachPhongBanRange, 2, FALSE))</f>
      </c>
      <c r="AB969" s="0">
        <f>IF(J969="", "", VLOOKUP(J969, DanhSachChucDanhRange, 2, FALSE))</f>
      </c>
      <c r="AC969" s="0">
        <f>IF(L969="", "", VLOOKUP(L969, ThangLuongData, 2, FALSE))</f>
      </c>
      <c r="AD969" s="0">
        <f>IF(M969="", "", VLOOKUP(M969, NgachLuongData, 2, FALSE))</f>
      </c>
      <c r="AE969" s="0">
        <f>IF(N969="", "", VLOOKUP(N969, BacLuongData, 2, FALSE))</f>
      </c>
      <c r="AF969" s="0">
        <f>IF(P969="", "", VLOOKUP(P969, DanhSachCodeId, 3, FALSE))</f>
      </c>
    </row>
    <row r="970">
      <c r="A970" s="0">
        <f>IF(B970="", "", VLOOKUP(B970, DanhSachCodeId, 3, FALSE))</f>
      </c>
      <c r="C970" s="0">
        <f>IF(B970="", "", VLOOKUP(B970, DanhSachNhanVien, 2, FALSE))</f>
      </c>
      <c r="Q970" s="0">
        <f>IF(P970="", "", VLOOKUP(P970, DanhSachNhanVien, 2, FALSE))</f>
      </c>
      <c r="Z970" s="0">
        <f>IF(D970="", "", VLOOKUP(D970, DanhSachLoaiQuyetDinhRange, 2, FALSE))</f>
      </c>
      <c r="AA970" s="0">
        <f>IF(I970="", "", VLOOKUP(I970, DanhSachPhongBanRange, 2, FALSE))</f>
      </c>
      <c r="AB970" s="0">
        <f>IF(J970="", "", VLOOKUP(J970, DanhSachChucDanhRange, 2, FALSE))</f>
      </c>
      <c r="AC970" s="0">
        <f>IF(L970="", "", VLOOKUP(L970, ThangLuongData, 2, FALSE))</f>
      </c>
      <c r="AD970" s="0">
        <f>IF(M970="", "", VLOOKUP(M970, NgachLuongData, 2, FALSE))</f>
      </c>
      <c r="AE970" s="0">
        <f>IF(N970="", "", VLOOKUP(N970, BacLuongData, 2, FALSE))</f>
      </c>
      <c r="AF970" s="0">
        <f>IF(P970="", "", VLOOKUP(P970, DanhSachCodeId, 3, FALSE))</f>
      </c>
    </row>
    <row r="971">
      <c r="A971" s="0">
        <f>IF(B971="", "", VLOOKUP(B971, DanhSachCodeId, 3, FALSE))</f>
      </c>
      <c r="C971" s="0">
        <f>IF(B971="", "", VLOOKUP(B971, DanhSachNhanVien, 2, FALSE))</f>
      </c>
      <c r="Q971" s="0">
        <f>IF(P971="", "", VLOOKUP(P971, DanhSachNhanVien, 2, FALSE))</f>
      </c>
      <c r="Z971" s="0">
        <f>IF(D971="", "", VLOOKUP(D971, DanhSachLoaiQuyetDinhRange, 2, FALSE))</f>
      </c>
      <c r="AA971" s="0">
        <f>IF(I971="", "", VLOOKUP(I971, DanhSachPhongBanRange, 2, FALSE))</f>
      </c>
      <c r="AB971" s="0">
        <f>IF(J971="", "", VLOOKUP(J971, DanhSachChucDanhRange, 2, FALSE))</f>
      </c>
      <c r="AC971" s="0">
        <f>IF(L971="", "", VLOOKUP(L971, ThangLuongData, 2, FALSE))</f>
      </c>
      <c r="AD971" s="0">
        <f>IF(M971="", "", VLOOKUP(M971, NgachLuongData, 2, FALSE))</f>
      </c>
      <c r="AE971" s="0">
        <f>IF(N971="", "", VLOOKUP(N971, BacLuongData, 2, FALSE))</f>
      </c>
      <c r="AF971" s="0">
        <f>IF(P971="", "", VLOOKUP(P971, DanhSachCodeId, 3, FALSE))</f>
      </c>
    </row>
    <row r="972">
      <c r="A972" s="0">
        <f>IF(B972="", "", VLOOKUP(B972, DanhSachCodeId, 3, FALSE))</f>
      </c>
      <c r="C972" s="0">
        <f>IF(B972="", "", VLOOKUP(B972, DanhSachNhanVien, 2, FALSE))</f>
      </c>
      <c r="Q972" s="0">
        <f>IF(P972="", "", VLOOKUP(P972, DanhSachNhanVien, 2, FALSE))</f>
      </c>
      <c r="Z972" s="0">
        <f>IF(D972="", "", VLOOKUP(D972, DanhSachLoaiQuyetDinhRange, 2, FALSE))</f>
      </c>
      <c r="AA972" s="0">
        <f>IF(I972="", "", VLOOKUP(I972, DanhSachPhongBanRange, 2, FALSE))</f>
      </c>
      <c r="AB972" s="0">
        <f>IF(J972="", "", VLOOKUP(J972, DanhSachChucDanhRange, 2, FALSE))</f>
      </c>
      <c r="AC972" s="0">
        <f>IF(L972="", "", VLOOKUP(L972, ThangLuongData, 2, FALSE))</f>
      </c>
      <c r="AD972" s="0">
        <f>IF(M972="", "", VLOOKUP(M972, NgachLuongData, 2, FALSE))</f>
      </c>
      <c r="AE972" s="0">
        <f>IF(N972="", "", VLOOKUP(N972, BacLuongData, 2, FALSE))</f>
      </c>
      <c r="AF972" s="0">
        <f>IF(P972="", "", VLOOKUP(P972, DanhSachCodeId, 3, FALSE))</f>
      </c>
    </row>
    <row r="973">
      <c r="A973" s="0">
        <f>IF(B973="", "", VLOOKUP(B973, DanhSachCodeId, 3, FALSE))</f>
      </c>
      <c r="C973" s="0">
        <f>IF(B973="", "", VLOOKUP(B973, DanhSachNhanVien, 2, FALSE))</f>
      </c>
      <c r="Q973" s="0">
        <f>IF(P973="", "", VLOOKUP(P973, DanhSachNhanVien, 2, FALSE))</f>
      </c>
      <c r="Z973" s="0">
        <f>IF(D973="", "", VLOOKUP(D973, DanhSachLoaiQuyetDinhRange, 2, FALSE))</f>
      </c>
      <c r="AA973" s="0">
        <f>IF(I973="", "", VLOOKUP(I973, DanhSachPhongBanRange, 2, FALSE))</f>
      </c>
      <c r="AB973" s="0">
        <f>IF(J973="", "", VLOOKUP(J973, DanhSachChucDanhRange, 2, FALSE))</f>
      </c>
      <c r="AC973" s="0">
        <f>IF(L973="", "", VLOOKUP(L973, ThangLuongData, 2, FALSE))</f>
      </c>
      <c r="AD973" s="0">
        <f>IF(M973="", "", VLOOKUP(M973, NgachLuongData, 2, FALSE))</f>
      </c>
      <c r="AE973" s="0">
        <f>IF(N973="", "", VLOOKUP(N973, BacLuongData, 2, FALSE))</f>
      </c>
      <c r="AF973" s="0">
        <f>IF(P973="", "", VLOOKUP(P973, DanhSachCodeId, 3, FALSE))</f>
      </c>
    </row>
    <row r="974">
      <c r="A974" s="0">
        <f>IF(B974="", "", VLOOKUP(B974, DanhSachCodeId, 3, FALSE))</f>
      </c>
      <c r="C974" s="0">
        <f>IF(B974="", "", VLOOKUP(B974, DanhSachNhanVien, 2, FALSE))</f>
      </c>
      <c r="Q974" s="0">
        <f>IF(P974="", "", VLOOKUP(P974, DanhSachNhanVien, 2, FALSE))</f>
      </c>
      <c r="Z974" s="0">
        <f>IF(D974="", "", VLOOKUP(D974, DanhSachLoaiQuyetDinhRange, 2, FALSE))</f>
      </c>
      <c r="AA974" s="0">
        <f>IF(I974="", "", VLOOKUP(I974, DanhSachPhongBanRange, 2, FALSE))</f>
      </c>
      <c r="AB974" s="0">
        <f>IF(J974="", "", VLOOKUP(J974, DanhSachChucDanhRange, 2, FALSE))</f>
      </c>
      <c r="AC974" s="0">
        <f>IF(L974="", "", VLOOKUP(L974, ThangLuongData, 2, FALSE))</f>
      </c>
      <c r="AD974" s="0">
        <f>IF(M974="", "", VLOOKUP(M974, NgachLuongData, 2, FALSE))</f>
      </c>
      <c r="AE974" s="0">
        <f>IF(N974="", "", VLOOKUP(N974, BacLuongData, 2, FALSE))</f>
      </c>
      <c r="AF974" s="0">
        <f>IF(P974="", "", VLOOKUP(P974, DanhSachCodeId, 3, FALSE))</f>
      </c>
    </row>
    <row r="975">
      <c r="A975" s="0">
        <f>IF(B975="", "", VLOOKUP(B975, DanhSachCodeId, 3, FALSE))</f>
      </c>
      <c r="C975" s="0">
        <f>IF(B975="", "", VLOOKUP(B975, DanhSachNhanVien, 2, FALSE))</f>
      </c>
      <c r="Q975" s="0">
        <f>IF(P975="", "", VLOOKUP(P975, DanhSachNhanVien, 2, FALSE))</f>
      </c>
      <c r="Z975" s="0">
        <f>IF(D975="", "", VLOOKUP(D975, DanhSachLoaiQuyetDinhRange, 2, FALSE))</f>
      </c>
      <c r="AA975" s="0">
        <f>IF(I975="", "", VLOOKUP(I975, DanhSachPhongBanRange, 2, FALSE))</f>
      </c>
      <c r="AB975" s="0">
        <f>IF(J975="", "", VLOOKUP(J975, DanhSachChucDanhRange, 2, FALSE))</f>
      </c>
      <c r="AC975" s="0">
        <f>IF(L975="", "", VLOOKUP(L975, ThangLuongData, 2, FALSE))</f>
      </c>
      <c r="AD975" s="0">
        <f>IF(M975="", "", VLOOKUP(M975, NgachLuongData, 2, FALSE))</f>
      </c>
      <c r="AE975" s="0">
        <f>IF(N975="", "", VLOOKUP(N975, BacLuongData, 2, FALSE))</f>
      </c>
      <c r="AF975" s="0">
        <f>IF(P975="", "", VLOOKUP(P975, DanhSachCodeId, 3, FALSE))</f>
      </c>
    </row>
    <row r="976">
      <c r="A976" s="0">
        <f>IF(B976="", "", VLOOKUP(B976, DanhSachCodeId, 3, FALSE))</f>
      </c>
      <c r="C976" s="0">
        <f>IF(B976="", "", VLOOKUP(B976, DanhSachNhanVien, 2, FALSE))</f>
      </c>
      <c r="Q976" s="0">
        <f>IF(P976="", "", VLOOKUP(P976, DanhSachNhanVien, 2, FALSE))</f>
      </c>
      <c r="Z976" s="0">
        <f>IF(D976="", "", VLOOKUP(D976, DanhSachLoaiQuyetDinhRange, 2, FALSE))</f>
      </c>
      <c r="AA976" s="0">
        <f>IF(I976="", "", VLOOKUP(I976, DanhSachPhongBanRange, 2, FALSE))</f>
      </c>
      <c r="AB976" s="0">
        <f>IF(J976="", "", VLOOKUP(J976, DanhSachChucDanhRange, 2, FALSE))</f>
      </c>
      <c r="AC976" s="0">
        <f>IF(L976="", "", VLOOKUP(L976, ThangLuongData, 2, FALSE))</f>
      </c>
      <c r="AD976" s="0">
        <f>IF(M976="", "", VLOOKUP(M976, NgachLuongData, 2, FALSE))</f>
      </c>
      <c r="AE976" s="0">
        <f>IF(N976="", "", VLOOKUP(N976, BacLuongData, 2, FALSE))</f>
      </c>
      <c r="AF976" s="0">
        <f>IF(P976="", "", VLOOKUP(P976, DanhSachCodeId, 3, FALSE))</f>
      </c>
    </row>
    <row r="977">
      <c r="A977" s="0">
        <f>IF(B977="", "", VLOOKUP(B977, DanhSachCodeId, 3, FALSE))</f>
      </c>
      <c r="C977" s="0">
        <f>IF(B977="", "", VLOOKUP(B977, DanhSachNhanVien, 2, FALSE))</f>
      </c>
      <c r="Q977" s="0">
        <f>IF(P977="", "", VLOOKUP(P977, DanhSachNhanVien, 2, FALSE))</f>
      </c>
      <c r="Z977" s="0">
        <f>IF(D977="", "", VLOOKUP(D977, DanhSachLoaiQuyetDinhRange, 2, FALSE))</f>
      </c>
      <c r="AA977" s="0">
        <f>IF(I977="", "", VLOOKUP(I977, DanhSachPhongBanRange, 2, FALSE))</f>
      </c>
      <c r="AB977" s="0">
        <f>IF(J977="", "", VLOOKUP(J977, DanhSachChucDanhRange, 2, FALSE))</f>
      </c>
      <c r="AC977" s="0">
        <f>IF(L977="", "", VLOOKUP(L977, ThangLuongData, 2, FALSE))</f>
      </c>
      <c r="AD977" s="0">
        <f>IF(M977="", "", VLOOKUP(M977, NgachLuongData, 2, FALSE))</f>
      </c>
      <c r="AE977" s="0">
        <f>IF(N977="", "", VLOOKUP(N977, BacLuongData, 2, FALSE))</f>
      </c>
      <c r="AF977" s="0">
        <f>IF(P977="", "", VLOOKUP(P977, DanhSachCodeId, 3, FALSE))</f>
      </c>
    </row>
    <row r="978">
      <c r="A978" s="0">
        <f>IF(B978="", "", VLOOKUP(B978, DanhSachCodeId, 3, FALSE))</f>
      </c>
      <c r="C978" s="0">
        <f>IF(B978="", "", VLOOKUP(B978, DanhSachNhanVien, 2, FALSE))</f>
      </c>
      <c r="Q978" s="0">
        <f>IF(P978="", "", VLOOKUP(P978, DanhSachNhanVien, 2, FALSE))</f>
      </c>
      <c r="Z978" s="0">
        <f>IF(D978="", "", VLOOKUP(D978, DanhSachLoaiQuyetDinhRange, 2, FALSE))</f>
      </c>
      <c r="AA978" s="0">
        <f>IF(I978="", "", VLOOKUP(I978, DanhSachPhongBanRange, 2, FALSE))</f>
      </c>
      <c r="AB978" s="0">
        <f>IF(J978="", "", VLOOKUP(J978, DanhSachChucDanhRange, 2, FALSE))</f>
      </c>
      <c r="AC978" s="0">
        <f>IF(L978="", "", VLOOKUP(L978, ThangLuongData, 2, FALSE))</f>
      </c>
      <c r="AD978" s="0">
        <f>IF(M978="", "", VLOOKUP(M978, NgachLuongData, 2, FALSE))</f>
      </c>
      <c r="AE978" s="0">
        <f>IF(N978="", "", VLOOKUP(N978, BacLuongData, 2, FALSE))</f>
      </c>
      <c r="AF978" s="0">
        <f>IF(P978="", "", VLOOKUP(P978, DanhSachCodeId, 3, FALSE))</f>
      </c>
    </row>
    <row r="979">
      <c r="A979" s="0">
        <f>IF(B979="", "", VLOOKUP(B979, DanhSachCodeId, 3, FALSE))</f>
      </c>
      <c r="C979" s="0">
        <f>IF(B979="", "", VLOOKUP(B979, DanhSachNhanVien, 2, FALSE))</f>
      </c>
      <c r="Q979" s="0">
        <f>IF(P979="", "", VLOOKUP(P979, DanhSachNhanVien, 2, FALSE))</f>
      </c>
      <c r="Z979" s="0">
        <f>IF(D979="", "", VLOOKUP(D979, DanhSachLoaiQuyetDinhRange, 2, FALSE))</f>
      </c>
      <c r="AA979" s="0">
        <f>IF(I979="", "", VLOOKUP(I979, DanhSachPhongBanRange, 2, FALSE))</f>
      </c>
      <c r="AB979" s="0">
        <f>IF(J979="", "", VLOOKUP(J979, DanhSachChucDanhRange, 2, FALSE))</f>
      </c>
      <c r="AC979" s="0">
        <f>IF(L979="", "", VLOOKUP(L979, ThangLuongData, 2, FALSE))</f>
      </c>
      <c r="AD979" s="0">
        <f>IF(M979="", "", VLOOKUP(M979, NgachLuongData, 2, FALSE))</f>
      </c>
      <c r="AE979" s="0">
        <f>IF(N979="", "", VLOOKUP(N979, BacLuongData, 2, FALSE))</f>
      </c>
      <c r="AF979" s="0">
        <f>IF(P979="", "", VLOOKUP(P979, DanhSachCodeId, 3, FALSE))</f>
      </c>
    </row>
    <row r="980">
      <c r="A980" s="0">
        <f>IF(B980="", "", VLOOKUP(B980, DanhSachCodeId, 3, FALSE))</f>
      </c>
      <c r="C980" s="0">
        <f>IF(B980="", "", VLOOKUP(B980, DanhSachNhanVien, 2, FALSE))</f>
      </c>
      <c r="Q980" s="0">
        <f>IF(P980="", "", VLOOKUP(P980, DanhSachNhanVien, 2, FALSE))</f>
      </c>
      <c r="Z980" s="0">
        <f>IF(D980="", "", VLOOKUP(D980, DanhSachLoaiQuyetDinhRange, 2, FALSE))</f>
      </c>
      <c r="AA980" s="0">
        <f>IF(I980="", "", VLOOKUP(I980, DanhSachPhongBanRange, 2, FALSE))</f>
      </c>
      <c r="AB980" s="0">
        <f>IF(J980="", "", VLOOKUP(J980, DanhSachChucDanhRange, 2, FALSE))</f>
      </c>
      <c r="AC980" s="0">
        <f>IF(L980="", "", VLOOKUP(L980, ThangLuongData, 2, FALSE))</f>
      </c>
      <c r="AD980" s="0">
        <f>IF(M980="", "", VLOOKUP(M980, NgachLuongData, 2, FALSE))</f>
      </c>
      <c r="AE980" s="0">
        <f>IF(N980="", "", VLOOKUP(N980, BacLuongData, 2, FALSE))</f>
      </c>
      <c r="AF980" s="0">
        <f>IF(P980="", "", VLOOKUP(P980, DanhSachCodeId, 3, FALSE))</f>
      </c>
    </row>
    <row r="981">
      <c r="A981" s="0">
        <f>IF(B981="", "", VLOOKUP(B981, DanhSachCodeId, 3, FALSE))</f>
      </c>
      <c r="C981" s="0">
        <f>IF(B981="", "", VLOOKUP(B981, DanhSachNhanVien, 2, FALSE))</f>
      </c>
      <c r="Q981" s="0">
        <f>IF(P981="", "", VLOOKUP(P981, DanhSachNhanVien, 2, FALSE))</f>
      </c>
      <c r="Z981" s="0">
        <f>IF(D981="", "", VLOOKUP(D981, DanhSachLoaiQuyetDinhRange, 2, FALSE))</f>
      </c>
      <c r="AA981" s="0">
        <f>IF(I981="", "", VLOOKUP(I981, DanhSachPhongBanRange, 2, FALSE))</f>
      </c>
      <c r="AB981" s="0">
        <f>IF(J981="", "", VLOOKUP(J981, DanhSachChucDanhRange, 2, FALSE))</f>
      </c>
      <c r="AC981" s="0">
        <f>IF(L981="", "", VLOOKUP(L981, ThangLuongData, 2, FALSE))</f>
      </c>
      <c r="AD981" s="0">
        <f>IF(M981="", "", VLOOKUP(M981, NgachLuongData, 2, FALSE))</f>
      </c>
      <c r="AE981" s="0">
        <f>IF(N981="", "", VLOOKUP(N981, BacLuongData, 2, FALSE))</f>
      </c>
      <c r="AF981" s="0">
        <f>IF(P981="", "", VLOOKUP(P981, DanhSachCodeId, 3, FALSE))</f>
      </c>
    </row>
    <row r="982">
      <c r="A982" s="0">
        <f>IF(B982="", "", VLOOKUP(B982, DanhSachCodeId, 3, FALSE))</f>
      </c>
      <c r="C982" s="0">
        <f>IF(B982="", "", VLOOKUP(B982, DanhSachNhanVien, 2, FALSE))</f>
      </c>
      <c r="Q982" s="0">
        <f>IF(P982="", "", VLOOKUP(P982, DanhSachNhanVien, 2, FALSE))</f>
      </c>
      <c r="Z982" s="0">
        <f>IF(D982="", "", VLOOKUP(D982, DanhSachLoaiQuyetDinhRange, 2, FALSE))</f>
      </c>
      <c r="AA982" s="0">
        <f>IF(I982="", "", VLOOKUP(I982, DanhSachPhongBanRange, 2, FALSE))</f>
      </c>
      <c r="AB982" s="0">
        <f>IF(J982="", "", VLOOKUP(J982, DanhSachChucDanhRange, 2, FALSE))</f>
      </c>
      <c r="AC982" s="0">
        <f>IF(L982="", "", VLOOKUP(L982, ThangLuongData, 2, FALSE))</f>
      </c>
      <c r="AD982" s="0">
        <f>IF(M982="", "", VLOOKUP(M982, NgachLuongData, 2, FALSE))</f>
      </c>
      <c r="AE982" s="0">
        <f>IF(N982="", "", VLOOKUP(N982, BacLuongData, 2, FALSE))</f>
      </c>
      <c r="AF982" s="0">
        <f>IF(P982="", "", VLOOKUP(P982, DanhSachCodeId, 3, FALSE))</f>
      </c>
    </row>
    <row r="983">
      <c r="A983" s="0">
        <f>IF(B983="", "", VLOOKUP(B983, DanhSachCodeId, 3, FALSE))</f>
      </c>
      <c r="C983" s="0">
        <f>IF(B983="", "", VLOOKUP(B983, DanhSachNhanVien, 2, FALSE))</f>
      </c>
      <c r="Q983" s="0">
        <f>IF(P983="", "", VLOOKUP(P983, DanhSachNhanVien, 2, FALSE))</f>
      </c>
      <c r="Z983" s="0">
        <f>IF(D983="", "", VLOOKUP(D983, DanhSachLoaiQuyetDinhRange, 2, FALSE))</f>
      </c>
      <c r="AA983" s="0">
        <f>IF(I983="", "", VLOOKUP(I983, DanhSachPhongBanRange, 2, FALSE))</f>
      </c>
      <c r="AB983" s="0">
        <f>IF(J983="", "", VLOOKUP(J983, DanhSachChucDanhRange, 2, FALSE))</f>
      </c>
      <c r="AC983" s="0">
        <f>IF(L983="", "", VLOOKUP(L983, ThangLuongData, 2, FALSE))</f>
      </c>
      <c r="AD983" s="0">
        <f>IF(M983="", "", VLOOKUP(M983, NgachLuongData, 2, FALSE))</f>
      </c>
      <c r="AE983" s="0">
        <f>IF(N983="", "", VLOOKUP(N983, BacLuongData, 2, FALSE))</f>
      </c>
      <c r="AF983" s="0">
        <f>IF(P983="", "", VLOOKUP(P983, DanhSachCodeId, 3, FALSE))</f>
      </c>
    </row>
    <row r="984">
      <c r="A984" s="0">
        <f>IF(B984="", "", VLOOKUP(B984, DanhSachCodeId, 3, FALSE))</f>
      </c>
      <c r="C984" s="0">
        <f>IF(B984="", "", VLOOKUP(B984, DanhSachNhanVien, 2, FALSE))</f>
      </c>
      <c r="Q984" s="0">
        <f>IF(P984="", "", VLOOKUP(P984, DanhSachNhanVien, 2, FALSE))</f>
      </c>
      <c r="Z984" s="0">
        <f>IF(D984="", "", VLOOKUP(D984, DanhSachLoaiQuyetDinhRange, 2, FALSE))</f>
      </c>
      <c r="AA984" s="0">
        <f>IF(I984="", "", VLOOKUP(I984, DanhSachPhongBanRange, 2, FALSE))</f>
      </c>
      <c r="AB984" s="0">
        <f>IF(J984="", "", VLOOKUP(J984, DanhSachChucDanhRange, 2, FALSE))</f>
      </c>
      <c r="AC984" s="0">
        <f>IF(L984="", "", VLOOKUP(L984, ThangLuongData, 2, FALSE))</f>
      </c>
      <c r="AD984" s="0">
        <f>IF(M984="", "", VLOOKUP(M984, NgachLuongData, 2, FALSE))</f>
      </c>
      <c r="AE984" s="0">
        <f>IF(N984="", "", VLOOKUP(N984, BacLuongData, 2, FALSE))</f>
      </c>
      <c r="AF984" s="0">
        <f>IF(P984="", "", VLOOKUP(P984, DanhSachCodeId, 3, FALSE))</f>
      </c>
    </row>
    <row r="985">
      <c r="A985" s="0">
        <f>IF(B985="", "", VLOOKUP(B985, DanhSachCodeId, 3, FALSE))</f>
      </c>
      <c r="C985" s="0">
        <f>IF(B985="", "", VLOOKUP(B985, DanhSachNhanVien, 2, FALSE))</f>
      </c>
      <c r="Q985" s="0">
        <f>IF(P985="", "", VLOOKUP(P985, DanhSachNhanVien, 2, FALSE))</f>
      </c>
      <c r="Z985" s="0">
        <f>IF(D985="", "", VLOOKUP(D985, DanhSachLoaiQuyetDinhRange, 2, FALSE))</f>
      </c>
      <c r="AA985" s="0">
        <f>IF(I985="", "", VLOOKUP(I985, DanhSachPhongBanRange, 2, FALSE))</f>
      </c>
      <c r="AB985" s="0">
        <f>IF(J985="", "", VLOOKUP(J985, DanhSachChucDanhRange, 2, FALSE))</f>
      </c>
      <c r="AC985" s="0">
        <f>IF(L985="", "", VLOOKUP(L985, ThangLuongData, 2, FALSE))</f>
      </c>
      <c r="AD985" s="0">
        <f>IF(M985="", "", VLOOKUP(M985, NgachLuongData, 2, FALSE))</f>
      </c>
      <c r="AE985" s="0">
        <f>IF(N985="", "", VLOOKUP(N985, BacLuongData, 2, FALSE))</f>
      </c>
      <c r="AF985" s="0">
        <f>IF(P985="", "", VLOOKUP(P985, DanhSachCodeId, 3, FALSE))</f>
      </c>
    </row>
    <row r="986">
      <c r="A986" s="0">
        <f>IF(B986="", "", VLOOKUP(B986, DanhSachCodeId, 3, FALSE))</f>
      </c>
      <c r="C986" s="0">
        <f>IF(B986="", "", VLOOKUP(B986, DanhSachNhanVien, 2, FALSE))</f>
      </c>
      <c r="Q986" s="0">
        <f>IF(P986="", "", VLOOKUP(P986, DanhSachNhanVien, 2, FALSE))</f>
      </c>
      <c r="Z986" s="0">
        <f>IF(D986="", "", VLOOKUP(D986, DanhSachLoaiQuyetDinhRange, 2, FALSE))</f>
      </c>
      <c r="AA986" s="0">
        <f>IF(I986="", "", VLOOKUP(I986, DanhSachPhongBanRange, 2, FALSE))</f>
      </c>
      <c r="AB986" s="0">
        <f>IF(J986="", "", VLOOKUP(J986, DanhSachChucDanhRange, 2, FALSE))</f>
      </c>
      <c r="AC986" s="0">
        <f>IF(L986="", "", VLOOKUP(L986, ThangLuongData, 2, FALSE))</f>
      </c>
      <c r="AD986" s="0">
        <f>IF(M986="", "", VLOOKUP(M986, NgachLuongData, 2, FALSE))</f>
      </c>
      <c r="AE986" s="0">
        <f>IF(N986="", "", VLOOKUP(N986, BacLuongData, 2, FALSE))</f>
      </c>
      <c r="AF986" s="0">
        <f>IF(P986="", "", VLOOKUP(P986, DanhSachCodeId, 3, FALSE))</f>
      </c>
    </row>
    <row r="987">
      <c r="A987" s="0">
        <f>IF(B987="", "", VLOOKUP(B987, DanhSachCodeId, 3, FALSE))</f>
      </c>
      <c r="C987" s="0">
        <f>IF(B987="", "", VLOOKUP(B987, DanhSachNhanVien, 2, FALSE))</f>
      </c>
      <c r="Q987" s="0">
        <f>IF(P987="", "", VLOOKUP(P987, DanhSachNhanVien, 2, FALSE))</f>
      </c>
      <c r="Z987" s="0">
        <f>IF(D987="", "", VLOOKUP(D987, DanhSachLoaiQuyetDinhRange, 2, FALSE))</f>
      </c>
      <c r="AA987" s="0">
        <f>IF(I987="", "", VLOOKUP(I987, DanhSachPhongBanRange, 2, FALSE))</f>
      </c>
      <c r="AB987" s="0">
        <f>IF(J987="", "", VLOOKUP(J987, DanhSachChucDanhRange, 2, FALSE))</f>
      </c>
      <c r="AC987" s="0">
        <f>IF(L987="", "", VLOOKUP(L987, ThangLuongData, 2, FALSE))</f>
      </c>
      <c r="AD987" s="0">
        <f>IF(M987="", "", VLOOKUP(M987, NgachLuongData, 2, FALSE))</f>
      </c>
      <c r="AE987" s="0">
        <f>IF(N987="", "", VLOOKUP(N987, BacLuongData, 2, FALSE))</f>
      </c>
      <c r="AF987" s="0">
        <f>IF(P987="", "", VLOOKUP(P987, DanhSachCodeId, 3, FALSE))</f>
      </c>
    </row>
    <row r="988">
      <c r="A988" s="0">
        <f>IF(B988="", "", VLOOKUP(B988, DanhSachCodeId, 3, FALSE))</f>
      </c>
      <c r="C988" s="0">
        <f>IF(B988="", "", VLOOKUP(B988, DanhSachNhanVien, 2, FALSE))</f>
      </c>
      <c r="Q988" s="0">
        <f>IF(P988="", "", VLOOKUP(P988, DanhSachNhanVien, 2, FALSE))</f>
      </c>
      <c r="Z988" s="0">
        <f>IF(D988="", "", VLOOKUP(D988, DanhSachLoaiQuyetDinhRange, 2, FALSE))</f>
      </c>
      <c r="AA988" s="0">
        <f>IF(I988="", "", VLOOKUP(I988, DanhSachPhongBanRange, 2, FALSE))</f>
      </c>
      <c r="AB988" s="0">
        <f>IF(J988="", "", VLOOKUP(J988, DanhSachChucDanhRange, 2, FALSE))</f>
      </c>
      <c r="AC988" s="0">
        <f>IF(L988="", "", VLOOKUP(L988, ThangLuongData, 2, FALSE))</f>
      </c>
      <c r="AD988" s="0">
        <f>IF(M988="", "", VLOOKUP(M988, NgachLuongData, 2, FALSE))</f>
      </c>
      <c r="AE988" s="0">
        <f>IF(N988="", "", VLOOKUP(N988, BacLuongData, 2, FALSE))</f>
      </c>
      <c r="AF988" s="0">
        <f>IF(P988="", "", VLOOKUP(P988, DanhSachCodeId, 3, FALSE))</f>
      </c>
    </row>
    <row r="989">
      <c r="A989" s="0">
        <f>IF(B989="", "", VLOOKUP(B989, DanhSachCodeId, 3, FALSE))</f>
      </c>
      <c r="C989" s="0">
        <f>IF(B989="", "", VLOOKUP(B989, DanhSachNhanVien, 2, FALSE))</f>
      </c>
      <c r="Q989" s="0">
        <f>IF(P989="", "", VLOOKUP(P989, DanhSachNhanVien, 2, FALSE))</f>
      </c>
      <c r="Z989" s="0">
        <f>IF(D989="", "", VLOOKUP(D989, DanhSachLoaiQuyetDinhRange, 2, FALSE))</f>
      </c>
      <c r="AA989" s="0">
        <f>IF(I989="", "", VLOOKUP(I989, DanhSachPhongBanRange, 2, FALSE))</f>
      </c>
      <c r="AB989" s="0">
        <f>IF(J989="", "", VLOOKUP(J989, DanhSachChucDanhRange, 2, FALSE))</f>
      </c>
      <c r="AC989" s="0">
        <f>IF(L989="", "", VLOOKUP(L989, ThangLuongData, 2, FALSE))</f>
      </c>
      <c r="AD989" s="0">
        <f>IF(M989="", "", VLOOKUP(M989, NgachLuongData, 2, FALSE))</f>
      </c>
      <c r="AE989" s="0">
        <f>IF(N989="", "", VLOOKUP(N989, BacLuongData, 2, FALSE))</f>
      </c>
      <c r="AF989" s="0">
        <f>IF(P989="", "", VLOOKUP(P989, DanhSachCodeId, 3, FALSE))</f>
      </c>
    </row>
    <row r="990">
      <c r="A990" s="0">
        <f>IF(B990="", "", VLOOKUP(B990, DanhSachCodeId, 3, FALSE))</f>
      </c>
      <c r="C990" s="0">
        <f>IF(B990="", "", VLOOKUP(B990, DanhSachNhanVien, 2, FALSE))</f>
      </c>
      <c r="Q990" s="0">
        <f>IF(P990="", "", VLOOKUP(P990, DanhSachNhanVien, 2, FALSE))</f>
      </c>
      <c r="Z990" s="0">
        <f>IF(D990="", "", VLOOKUP(D990, DanhSachLoaiQuyetDinhRange, 2, FALSE))</f>
      </c>
      <c r="AA990" s="0">
        <f>IF(I990="", "", VLOOKUP(I990, DanhSachPhongBanRange, 2, FALSE))</f>
      </c>
      <c r="AB990" s="0">
        <f>IF(J990="", "", VLOOKUP(J990, DanhSachChucDanhRange, 2, FALSE))</f>
      </c>
      <c r="AC990" s="0">
        <f>IF(L990="", "", VLOOKUP(L990, ThangLuongData, 2, FALSE))</f>
      </c>
      <c r="AD990" s="0">
        <f>IF(M990="", "", VLOOKUP(M990, NgachLuongData, 2, FALSE))</f>
      </c>
      <c r="AE990" s="0">
        <f>IF(N990="", "", VLOOKUP(N990, BacLuongData, 2, FALSE))</f>
      </c>
      <c r="AF990" s="0">
        <f>IF(P990="", "", VLOOKUP(P990, DanhSachCodeId, 3, FALSE))</f>
      </c>
    </row>
    <row r="991">
      <c r="A991" s="0">
        <f>IF(B991="", "", VLOOKUP(B991, DanhSachCodeId, 3, FALSE))</f>
      </c>
      <c r="C991" s="0">
        <f>IF(B991="", "", VLOOKUP(B991, DanhSachNhanVien, 2, FALSE))</f>
      </c>
      <c r="Q991" s="0">
        <f>IF(P991="", "", VLOOKUP(P991, DanhSachNhanVien, 2, FALSE))</f>
      </c>
      <c r="Z991" s="0">
        <f>IF(D991="", "", VLOOKUP(D991, DanhSachLoaiQuyetDinhRange, 2, FALSE))</f>
      </c>
      <c r="AA991" s="0">
        <f>IF(I991="", "", VLOOKUP(I991, DanhSachPhongBanRange, 2, FALSE))</f>
      </c>
      <c r="AB991" s="0">
        <f>IF(J991="", "", VLOOKUP(J991, DanhSachChucDanhRange, 2, FALSE))</f>
      </c>
      <c r="AC991" s="0">
        <f>IF(L991="", "", VLOOKUP(L991, ThangLuongData, 2, FALSE))</f>
      </c>
      <c r="AD991" s="0">
        <f>IF(M991="", "", VLOOKUP(M991, NgachLuongData, 2, FALSE))</f>
      </c>
      <c r="AE991" s="0">
        <f>IF(N991="", "", VLOOKUP(N991, BacLuongData, 2, FALSE))</f>
      </c>
      <c r="AF991" s="0">
        <f>IF(P991="", "", VLOOKUP(P991, DanhSachCodeId, 3, FALSE))</f>
      </c>
    </row>
    <row r="992">
      <c r="A992" s="0">
        <f>IF(B992="", "", VLOOKUP(B992, DanhSachCodeId, 3, FALSE))</f>
      </c>
      <c r="C992" s="0">
        <f>IF(B992="", "", VLOOKUP(B992, DanhSachNhanVien, 2, FALSE))</f>
      </c>
      <c r="Q992" s="0">
        <f>IF(P992="", "", VLOOKUP(P992, DanhSachNhanVien, 2, FALSE))</f>
      </c>
      <c r="Z992" s="0">
        <f>IF(D992="", "", VLOOKUP(D992, DanhSachLoaiQuyetDinhRange, 2, FALSE))</f>
      </c>
      <c r="AA992" s="0">
        <f>IF(I992="", "", VLOOKUP(I992, DanhSachPhongBanRange, 2, FALSE))</f>
      </c>
      <c r="AB992" s="0">
        <f>IF(J992="", "", VLOOKUP(J992, DanhSachChucDanhRange, 2, FALSE))</f>
      </c>
      <c r="AC992" s="0">
        <f>IF(L992="", "", VLOOKUP(L992, ThangLuongData, 2, FALSE))</f>
      </c>
      <c r="AD992" s="0">
        <f>IF(M992="", "", VLOOKUP(M992, NgachLuongData, 2, FALSE))</f>
      </c>
      <c r="AE992" s="0">
        <f>IF(N992="", "", VLOOKUP(N992, BacLuongData, 2, FALSE))</f>
      </c>
      <c r="AF992" s="0">
        <f>IF(P992="", "", VLOOKUP(P992, DanhSachCodeId, 3, FALSE))</f>
      </c>
    </row>
    <row r="993">
      <c r="A993" s="0">
        <f>IF(B993="", "", VLOOKUP(B993, DanhSachCodeId, 3, FALSE))</f>
      </c>
      <c r="C993" s="0">
        <f>IF(B993="", "", VLOOKUP(B993, DanhSachNhanVien, 2, FALSE))</f>
      </c>
      <c r="Q993" s="0">
        <f>IF(P993="", "", VLOOKUP(P993, DanhSachNhanVien, 2, FALSE))</f>
      </c>
      <c r="Z993" s="0">
        <f>IF(D993="", "", VLOOKUP(D993, DanhSachLoaiQuyetDinhRange, 2, FALSE))</f>
      </c>
      <c r="AA993" s="0">
        <f>IF(I993="", "", VLOOKUP(I993, DanhSachPhongBanRange, 2, FALSE))</f>
      </c>
      <c r="AB993" s="0">
        <f>IF(J993="", "", VLOOKUP(J993, DanhSachChucDanhRange, 2, FALSE))</f>
      </c>
      <c r="AC993" s="0">
        <f>IF(L993="", "", VLOOKUP(L993, ThangLuongData, 2, FALSE))</f>
      </c>
      <c r="AD993" s="0">
        <f>IF(M993="", "", VLOOKUP(M993, NgachLuongData, 2, FALSE))</f>
      </c>
      <c r="AE993" s="0">
        <f>IF(N993="", "", VLOOKUP(N993, BacLuongData, 2, FALSE))</f>
      </c>
      <c r="AF993" s="0">
        <f>IF(P993="", "", VLOOKUP(P993, DanhSachCodeId, 3, FALSE))</f>
      </c>
    </row>
    <row r="994">
      <c r="A994" s="0">
        <f>IF(B994="", "", VLOOKUP(B994, DanhSachCodeId, 3, FALSE))</f>
      </c>
      <c r="C994" s="0">
        <f>IF(B994="", "", VLOOKUP(B994, DanhSachNhanVien, 2, FALSE))</f>
      </c>
      <c r="Q994" s="0">
        <f>IF(P994="", "", VLOOKUP(P994, DanhSachNhanVien, 2, FALSE))</f>
      </c>
      <c r="Z994" s="0">
        <f>IF(D994="", "", VLOOKUP(D994, DanhSachLoaiQuyetDinhRange, 2, FALSE))</f>
      </c>
      <c r="AA994" s="0">
        <f>IF(I994="", "", VLOOKUP(I994, DanhSachPhongBanRange, 2, FALSE))</f>
      </c>
      <c r="AB994" s="0">
        <f>IF(J994="", "", VLOOKUP(J994, DanhSachChucDanhRange, 2, FALSE))</f>
      </c>
      <c r="AC994" s="0">
        <f>IF(L994="", "", VLOOKUP(L994, ThangLuongData, 2, FALSE))</f>
      </c>
      <c r="AD994" s="0">
        <f>IF(M994="", "", VLOOKUP(M994, NgachLuongData, 2, FALSE))</f>
      </c>
      <c r="AE994" s="0">
        <f>IF(N994="", "", VLOOKUP(N994, BacLuongData, 2, FALSE))</f>
      </c>
      <c r="AF994" s="0">
        <f>IF(P994="", "", VLOOKUP(P994, DanhSachCodeId, 3, FALSE))</f>
      </c>
    </row>
    <row r="995">
      <c r="A995" s="0">
        <f>IF(B995="", "", VLOOKUP(B995, DanhSachCodeId, 3, FALSE))</f>
      </c>
      <c r="C995" s="0">
        <f>IF(B995="", "", VLOOKUP(B995, DanhSachNhanVien, 2, FALSE))</f>
      </c>
      <c r="Q995" s="0">
        <f>IF(P995="", "", VLOOKUP(P995, DanhSachNhanVien, 2, FALSE))</f>
      </c>
      <c r="Z995" s="0">
        <f>IF(D995="", "", VLOOKUP(D995, DanhSachLoaiQuyetDinhRange, 2, FALSE))</f>
      </c>
      <c r="AA995" s="0">
        <f>IF(I995="", "", VLOOKUP(I995, DanhSachPhongBanRange, 2, FALSE))</f>
      </c>
      <c r="AB995" s="0">
        <f>IF(J995="", "", VLOOKUP(J995, DanhSachChucDanhRange, 2, FALSE))</f>
      </c>
      <c r="AC995" s="0">
        <f>IF(L995="", "", VLOOKUP(L995, ThangLuongData, 2, FALSE))</f>
      </c>
      <c r="AD995" s="0">
        <f>IF(M995="", "", VLOOKUP(M995, NgachLuongData, 2, FALSE))</f>
      </c>
      <c r="AE995" s="0">
        <f>IF(N995="", "", VLOOKUP(N995, BacLuongData, 2, FALSE))</f>
      </c>
      <c r="AF995" s="0">
        <f>IF(P995="", "", VLOOKUP(P995, DanhSachCodeId, 3, FALSE))</f>
      </c>
    </row>
    <row r="996">
      <c r="A996" s="0">
        <f>IF(B996="", "", VLOOKUP(B996, DanhSachCodeId, 3, FALSE))</f>
      </c>
      <c r="C996" s="0">
        <f>IF(B996="", "", VLOOKUP(B996, DanhSachNhanVien, 2, FALSE))</f>
      </c>
      <c r="Q996" s="0">
        <f>IF(P996="", "", VLOOKUP(P996, DanhSachNhanVien, 2, FALSE))</f>
      </c>
      <c r="Z996" s="0">
        <f>IF(D996="", "", VLOOKUP(D996, DanhSachLoaiQuyetDinhRange, 2, FALSE))</f>
      </c>
      <c r="AA996" s="0">
        <f>IF(I996="", "", VLOOKUP(I996, DanhSachPhongBanRange, 2, FALSE))</f>
      </c>
      <c r="AB996" s="0">
        <f>IF(J996="", "", VLOOKUP(J996, DanhSachChucDanhRange, 2, FALSE))</f>
      </c>
      <c r="AC996" s="0">
        <f>IF(L996="", "", VLOOKUP(L996, ThangLuongData, 2, FALSE))</f>
      </c>
      <c r="AD996" s="0">
        <f>IF(M996="", "", VLOOKUP(M996, NgachLuongData, 2, FALSE))</f>
      </c>
      <c r="AE996" s="0">
        <f>IF(N996="", "", VLOOKUP(N996, BacLuongData, 2, FALSE))</f>
      </c>
      <c r="AF996" s="0">
        <f>IF(P996="", "", VLOOKUP(P996, DanhSachCodeId, 3, FALSE))</f>
      </c>
    </row>
    <row r="997">
      <c r="A997" s="0">
        <f>IF(B997="", "", VLOOKUP(B997, DanhSachCodeId, 3, FALSE))</f>
      </c>
      <c r="C997" s="0">
        <f>IF(B997="", "", VLOOKUP(B997, DanhSachNhanVien, 2, FALSE))</f>
      </c>
      <c r="Q997" s="0">
        <f>IF(P997="", "", VLOOKUP(P997, DanhSachNhanVien, 2, FALSE))</f>
      </c>
      <c r="Z997" s="0">
        <f>IF(D997="", "", VLOOKUP(D997, DanhSachLoaiQuyetDinhRange, 2, FALSE))</f>
      </c>
      <c r="AA997" s="0">
        <f>IF(I997="", "", VLOOKUP(I997, DanhSachPhongBanRange, 2, FALSE))</f>
      </c>
      <c r="AB997" s="0">
        <f>IF(J997="", "", VLOOKUP(J997, DanhSachChucDanhRange, 2, FALSE))</f>
      </c>
      <c r="AC997" s="0">
        <f>IF(L997="", "", VLOOKUP(L997, ThangLuongData, 2, FALSE))</f>
      </c>
      <c r="AD997" s="0">
        <f>IF(M997="", "", VLOOKUP(M997, NgachLuongData, 2, FALSE))</f>
      </c>
      <c r="AE997" s="0">
        <f>IF(N997="", "", VLOOKUP(N997, BacLuongData, 2, FALSE))</f>
      </c>
      <c r="AF997" s="0">
        <f>IF(P997="", "", VLOOKUP(P997, DanhSachCodeId, 3, FALSE))</f>
      </c>
    </row>
    <row r="998">
      <c r="A998" s="0">
        <f>IF(B998="", "", VLOOKUP(B998, DanhSachCodeId, 3, FALSE))</f>
      </c>
      <c r="C998" s="0">
        <f>IF(B998="", "", VLOOKUP(B998, DanhSachNhanVien, 2, FALSE))</f>
      </c>
      <c r="Q998" s="0">
        <f>IF(P998="", "", VLOOKUP(P998, DanhSachNhanVien, 2, FALSE))</f>
      </c>
      <c r="Z998" s="0">
        <f>IF(D998="", "", VLOOKUP(D998, DanhSachLoaiQuyetDinhRange, 2, FALSE))</f>
      </c>
      <c r="AA998" s="0">
        <f>IF(I998="", "", VLOOKUP(I998, DanhSachPhongBanRange, 2, FALSE))</f>
      </c>
      <c r="AB998" s="0">
        <f>IF(J998="", "", VLOOKUP(J998, DanhSachChucDanhRange, 2, FALSE))</f>
      </c>
      <c r="AC998" s="0">
        <f>IF(L998="", "", VLOOKUP(L998, ThangLuongData, 2, FALSE))</f>
      </c>
      <c r="AD998" s="0">
        <f>IF(M998="", "", VLOOKUP(M998, NgachLuongData, 2, FALSE))</f>
      </c>
      <c r="AE998" s="0">
        <f>IF(N998="", "", VLOOKUP(N998, BacLuongData, 2, FALSE))</f>
      </c>
      <c r="AF998" s="0">
        <f>IF(P998="", "", VLOOKUP(P998, DanhSachCodeId, 3, FALSE))</f>
      </c>
    </row>
    <row r="999">
      <c r="A999" s="0">
        <f>IF(B999="", "", VLOOKUP(B999, DanhSachCodeId, 3, FALSE))</f>
      </c>
      <c r="C999" s="0">
        <f>IF(B999="", "", VLOOKUP(B999, DanhSachNhanVien, 2, FALSE))</f>
      </c>
      <c r="Q999" s="0">
        <f>IF(P999="", "", VLOOKUP(P999, DanhSachNhanVien, 2, FALSE))</f>
      </c>
      <c r="Z999" s="0">
        <f>IF(D999="", "", VLOOKUP(D999, DanhSachLoaiQuyetDinhRange, 2, FALSE))</f>
      </c>
      <c r="AA999" s="0">
        <f>IF(I999="", "", VLOOKUP(I999, DanhSachPhongBanRange, 2, FALSE))</f>
      </c>
      <c r="AB999" s="0">
        <f>IF(J999="", "", VLOOKUP(J999, DanhSachChucDanhRange, 2, FALSE))</f>
      </c>
      <c r="AC999" s="0">
        <f>IF(L999="", "", VLOOKUP(L999, ThangLuongData, 2, FALSE))</f>
      </c>
      <c r="AD999" s="0">
        <f>IF(M999="", "", VLOOKUP(M999, NgachLuongData, 2, FALSE))</f>
      </c>
      <c r="AE999" s="0">
        <f>IF(N999="", "", VLOOKUP(N999, BacLuongData, 2, FALSE))</f>
      </c>
      <c r="AF999" s="0">
        <f>IF(P999="", "", VLOOKUP(P999, DanhSachCodeId, 3, FALSE))</f>
      </c>
    </row>
    <row r="1000">
      <c r="A1000" s="0">
        <f>IF(B1000="", "", VLOOKUP(B1000, DanhSachCodeId, 3, FALSE))</f>
      </c>
      <c r="C1000" s="0">
        <f>IF(B1000="", "", VLOOKUP(B1000, DanhSachNhanVien, 2, FALSE))</f>
      </c>
      <c r="Q1000" s="0">
        <f>IF(P1000="", "", VLOOKUP(P1000, DanhSachNhanVien, 2, FALSE))</f>
      </c>
      <c r="Z1000" s="0">
        <f>IF(D1000="", "", VLOOKUP(D1000, DanhSachLoaiQuyetDinhRange, 2, FALSE))</f>
      </c>
      <c r="AA1000" s="0">
        <f>IF(I1000="", "", VLOOKUP(I1000, DanhSachPhongBanRange, 2, FALSE))</f>
      </c>
      <c r="AB1000" s="0">
        <f>IF(J1000="", "", VLOOKUP(J1000, DanhSachChucDanhRange, 2, FALSE))</f>
      </c>
      <c r="AC1000" s="0">
        <f>IF(L1000="", "", VLOOKUP(L1000, ThangLuongData, 2, FALSE))</f>
      </c>
      <c r="AD1000" s="0">
        <f>IF(M1000="", "", VLOOKUP(M1000, NgachLuongData, 2, FALSE))</f>
      </c>
      <c r="AE1000" s="0">
        <f>IF(N1000="", "", VLOOKUP(N1000, BacLuongData, 2, FALSE))</f>
      </c>
      <c r="AF1000" s="0">
        <f>IF(P1000="", "", VLOOKUP(P1000, DanhSachCodeId, 3, FALSE))</f>
      </c>
    </row>
  </sheetData>
  <mergeCells>
    <mergeCell ref="A1:R2"/>
  </mergeCells>
  <dataValidations count="1996">
    <dataValidation type="list" sqref="B6:B1000" xr:uid="{75265D2F-3C9A-478C-BF11-97B46C35D76F}">
      <formula1>=DanhSachCode</formula1>
    </dataValidation>
    <dataValidation type="list" sqref="D6:D1000" xr:uid="{6D15D64E-4C25-495B-9EAD-7C37034F2D12}">
      <formula1>=DanhSachLoaiQuyetDinh</formula1>
    </dataValidation>
    <dataValidation type="list" sqref="I6:I1000" xr:uid="{EEC9EA65-0608-41FA-A811-887259D40C37}">
      <formula1>=DanhSachPhongBan</formula1>
    </dataValidation>
    <dataValidation type="list" sqref="J6:J1000" xr:uid="{B31BCDE4-6D7A-4582-A3FB-75AFC34E4277}">
      <formula1>=DanhSachChucDanh</formula1>
    </dataValidation>
    <dataValidation type="list" sqref="L6:L1000" xr:uid="{B0F30BD6-F436-418D-B1CC-D4D280D4C7A9}">
      <formula1>=ThangLuongList</formula1>
    </dataValidation>
    <dataValidation type="list" sqref="P6:P1000" xr:uid="{7D94A37E-A9F1-4901-A30D-73AEAFBE8F28}">
      <formula1>=DanhSachCode</formula1>
    </dataValidation>
    <dataValidation type="list" sqref="M6" xr:uid="{743F2062-1B18-4EB7-859C-A2DBE9EC935C}">
      <formula1>=IF(L6&lt;&gt;"",INDIRECT(VLOOKUP(L6,ThangLuongData,3,FALSE)),"")</formula1>
    </dataValidation>
    <dataValidation type="list" sqref="N6" xr:uid="{9A6E8E57-BF16-4470-A58A-03EF636262F7}">
      <formula1>=IF(M6&lt;&gt;"",INDIRECT(VLOOKUP(M6,NgachLuongData,4,FALSE)),"")</formula1>
    </dataValidation>
    <dataValidation type="list" sqref="M7" xr:uid="{9307A655-5779-4BB1-A68C-F5E74AB5200E}">
      <formula1>=IF(L7&lt;&gt;"",INDIRECT(VLOOKUP(L7,ThangLuongData,3,FALSE)),"")</formula1>
    </dataValidation>
    <dataValidation type="list" sqref="N7" xr:uid="{28A3A72A-E020-4A22-B03F-F077C17A3030}">
      <formula1>=IF(M7&lt;&gt;"",INDIRECT(VLOOKUP(M7,NgachLuongData,4,FALSE)),"")</formula1>
    </dataValidation>
    <dataValidation type="list" sqref="M8" xr:uid="{55FD0DE6-7EEC-416E-9368-30F27DBD07CF}">
      <formula1>=IF(L8&lt;&gt;"",INDIRECT(VLOOKUP(L8,ThangLuongData,3,FALSE)),"")</formula1>
    </dataValidation>
    <dataValidation type="list" sqref="N8" xr:uid="{31583A49-71E6-40BA-8F4B-191390E8F03D}">
      <formula1>=IF(M8&lt;&gt;"",INDIRECT(VLOOKUP(M8,NgachLuongData,4,FALSE)),"")</formula1>
    </dataValidation>
    <dataValidation type="list" sqref="M9" xr:uid="{556F7373-FC34-4E0C-8A95-EE3D9A841BF1}">
      <formula1>=IF(L9&lt;&gt;"",INDIRECT(VLOOKUP(L9,ThangLuongData,3,FALSE)),"")</formula1>
    </dataValidation>
    <dataValidation type="list" sqref="N9" xr:uid="{3C8EB7AE-E75F-4868-BCEA-2F731E83AC48}">
      <formula1>=IF(M9&lt;&gt;"",INDIRECT(VLOOKUP(M9,NgachLuongData,4,FALSE)),"")</formula1>
    </dataValidation>
    <dataValidation type="list" sqref="M10" xr:uid="{9B200C0D-2D15-4C50-97A8-B892A8B3501D}">
      <formula1>=IF(L10&lt;&gt;"",INDIRECT(VLOOKUP(L10,ThangLuongData,3,FALSE)),"")</formula1>
    </dataValidation>
    <dataValidation type="list" sqref="N10" xr:uid="{21A47000-EA21-4B14-B960-1E014EE8DD84}">
      <formula1>=IF(M10&lt;&gt;"",INDIRECT(VLOOKUP(M10,NgachLuongData,4,FALSE)),"")</formula1>
    </dataValidation>
    <dataValidation type="list" sqref="M11" xr:uid="{672BCC74-496D-4F72-AC58-F84CB4A94118}">
      <formula1>=IF(L11&lt;&gt;"",INDIRECT(VLOOKUP(L11,ThangLuongData,3,FALSE)),"")</formula1>
    </dataValidation>
    <dataValidation type="list" sqref="N11" xr:uid="{4E4C4E9F-0228-4251-9F50-739C9AA99DF3}">
      <formula1>=IF(M11&lt;&gt;"",INDIRECT(VLOOKUP(M11,NgachLuongData,4,FALSE)),"")</formula1>
    </dataValidation>
    <dataValidation type="list" sqref="M12" xr:uid="{A2AC8384-520E-42B9-A8DF-12F260B264C1}">
      <formula1>=IF(L12&lt;&gt;"",INDIRECT(VLOOKUP(L12,ThangLuongData,3,FALSE)),"")</formula1>
    </dataValidation>
    <dataValidation type="list" sqref="N12" xr:uid="{C06E11A8-DE6F-4505-8E46-AF7D2B052D82}">
      <formula1>=IF(M12&lt;&gt;"",INDIRECT(VLOOKUP(M12,NgachLuongData,4,FALSE)),"")</formula1>
    </dataValidation>
    <dataValidation type="list" sqref="M13" xr:uid="{AF90A9FF-7AEF-4155-B967-00E4AE6E63ED}">
      <formula1>=IF(L13&lt;&gt;"",INDIRECT(VLOOKUP(L13,ThangLuongData,3,FALSE)),"")</formula1>
    </dataValidation>
    <dataValidation type="list" sqref="N13" xr:uid="{32AD2CE5-FAC6-47E9-A5A0-51A552D484C8}">
      <formula1>=IF(M13&lt;&gt;"",INDIRECT(VLOOKUP(M13,NgachLuongData,4,FALSE)),"")</formula1>
    </dataValidation>
    <dataValidation type="list" sqref="M14" xr:uid="{B7A9B414-B37D-445D-9D88-E6EFF26B88AC}">
      <formula1>=IF(L14&lt;&gt;"",INDIRECT(VLOOKUP(L14,ThangLuongData,3,FALSE)),"")</formula1>
    </dataValidation>
    <dataValidation type="list" sqref="N14" xr:uid="{73ED9A53-79CE-4A8A-BAC0-05F525068F25}">
      <formula1>=IF(M14&lt;&gt;"",INDIRECT(VLOOKUP(M14,NgachLuongData,4,FALSE)),"")</formula1>
    </dataValidation>
    <dataValidation type="list" sqref="M15" xr:uid="{C1416ABF-3D60-472C-8189-F86DD68EDBE5}">
      <formula1>=IF(L15&lt;&gt;"",INDIRECT(VLOOKUP(L15,ThangLuongData,3,FALSE)),"")</formula1>
    </dataValidation>
    <dataValidation type="list" sqref="N15" xr:uid="{4E3B5905-2334-4B10-A110-71E191EE79C8}">
      <formula1>=IF(M15&lt;&gt;"",INDIRECT(VLOOKUP(M15,NgachLuongData,4,FALSE)),"")</formula1>
    </dataValidation>
    <dataValidation type="list" sqref="M16" xr:uid="{28602A5B-7418-4BB5-A5FE-174AE69A7F05}">
      <formula1>=IF(L16&lt;&gt;"",INDIRECT(VLOOKUP(L16,ThangLuongData,3,FALSE)),"")</formula1>
    </dataValidation>
    <dataValidation type="list" sqref="N16" xr:uid="{47E658E4-2B40-4D2F-BBFD-6A7D066A70E0}">
      <formula1>=IF(M16&lt;&gt;"",INDIRECT(VLOOKUP(M16,NgachLuongData,4,FALSE)),"")</formula1>
    </dataValidation>
    <dataValidation type="list" sqref="M17" xr:uid="{22756184-24E2-4333-8568-0B1202E07535}">
      <formula1>=IF(L17&lt;&gt;"",INDIRECT(VLOOKUP(L17,ThangLuongData,3,FALSE)),"")</formula1>
    </dataValidation>
    <dataValidation type="list" sqref="N17" xr:uid="{43049FDA-AF66-4A0A-A224-3E6C25366CD9}">
      <formula1>=IF(M17&lt;&gt;"",INDIRECT(VLOOKUP(M17,NgachLuongData,4,FALSE)),"")</formula1>
    </dataValidation>
    <dataValidation type="list" sqref="M18" xr:uid="{7380E9F2-2516-4688-A926-93C7F3FA82E3}">
      <formula1>=IF(L18&lt;&gt;"",INDIRECT(VLOOKUP(L18,ThangLuongData,3,FALSE)),"")</formula1>
    </dataValidation>
    <dataValidation type="list" sqref="N18" xr:uid="{12B6A236-4DD6-45A7-B3A1-9CBE8AD3D5F6}">
      <formula1>=IF(M18&lt;&gt;"",INDIRECT(VLOOKUP(M18,NgachLuongData,4,FALSE)),"")</formula1>
    </dataValidation>
    <dataValidation type="list" sqref="M19" xr:uid="{731C7C07-532F-409A-A28C-E053CC65F6CC}">
      <formula1>=IF(L19&lt;&gt;"",INDIRECT(VLOOKUP(L19,ThangLuongData,3,FALSE)),"")</formula1>
    </dataValidation>
    <dataValidation type="list" sqref="N19" xr:uid="{6B133283-6B33-460C-8047-5506DFE30685}">
      <formula1>=IF(M19&lt;&gt;"",INDIRECT(VLOOKUP(M19,NgachLuongData,4,FALSE)),"")</formula1>
    </dataValidation>
    <dataValidation type="list" sqref="M20" xr:uid="{74376745-C9D6-484F-9D2C-60B8F02FFE15}">
      <formula1>=IF(L20&lt;&gt;"",INDIRECT(VLOOKUP(L20,ThangLuongData,3,FALSE)),"")</formula1>
    </dataValidation>
    <dataValidation type="list" sqref="N20" xr:uid="{AF64561B-BCFD-43B4-8A19-C7E1F86A5DED}">
      <formula1>=IF(M20&lt;&gt;"",INDIRECT(VLOOKUP(M20,NgachLuongData,4,FALSE)),"")</formula1>
    </dataValidation>
    <dataValidation type="list" sqref="M21" xr:uid="{9E01116F-ECB9-4712-BFC7-01C8F35AAADD}">
      <formula1>=IF(L21&lt;&gt;"",INDIRECT(VLOOKUP(L21,ThangLuongData,3,FALSE)),"")</formula1>
    </dataValidation>
    <dataValidation type="list" sqref="N21" xr:uid="{0F824C06-3396-4570-A64C-7ED018A6D8EB}">
      <formula1>=IF(M21&lt;&gt;"",INDIRECT(VLOOKUP(M21,NgachLuongData,4,FALSE)),"")</formula1>
    </dataValidation>
    <dataValidation type="list" sqref="M22" xr:uid="{22153002-C8AB-4D41-98FA-812221B3CE3C}">
      <formula1>=IF(L22&lt;&gt;"",INDIRECT(VLOOKUP(L22,ThangLuongData,3,FALSE)),"")</formula1>
    </dataValidation>
    <dataValidation type="list" sqref="N22" xr:uid="{2930FF28-20B0-4F44-A523-A320DE20B43D}">
      <formula1>=IF(M22&lt;&gt;"",INDIRECT(VLOOKUP(M22,NgachLuongData,4,FALSE)),"")</formula1>
    </dataValidation>
    <dataValidation type="list" sqref="M23" xr:uid="{43FA824A-1F5F-467A-9885-61B2405F7213}">
      <formula1>=IF(L23&lt;&gt;"",INDIRECT(VLOOKUP(L23,ThangLuongData,3,FALSE)),"")</formula1>
    </dataValidation>
    <dataValidation type="list" sqref="N23" xr:uid="{3E6F2080-A825-43AB-8441-2B235F9E75E2}">
      <formula1>=IF(M23&lt;&gt;"",INDIRECT(VLOOKUP(M23,NgachLuongData,4,FALSE)),"")</formula1>
    </dataValidation>
    <dataValidation type="list" sqref="M24" xr:uid="{9D6B6EAA-ADC7-45D5-B4C8-A557186C586C}">
      <formula1>=IF(L24&lt;&gt;"",INDIRECT(VLOOKUP(L24,ThangLuongData,3,FALSE)),"")</formula1>
    </dataValidation>
    <dataValidation type="list" sqref="N24" xr:uid="{7F878F2D-E720-4D30-A831-D2C58AC89124}">
      <formula1>=IF(M24&lt;&gt;"",INDIRECT(VLOOKUP(M24,NgachLuongData,4,FALSE)),"")</formula1>
    </dataValidation>
    <dataValidation type="list" sqref="M25" xr:uid="{66846943-6F77-4006-9C5D-D6F6E404943D}">
      <formula1>=IF(L25&lt;&gt;"",INDIRECT(VLOOKUP(L25,ThangLuongData,3,FALSE)),"")</formula1>
    </dataValidation>
    <dataValidation type="list" sqref="N25" xr:uid="{9908ABEF-7ABB-44B8-B170-1BB893DBBB41}">
      <formula1>=IF(M25&lt;&gt;"",INDIRECT(VLOOKUP(M25,NgachLuongData,4,FALSE)),"")</formula1>
    </dataValidation>
    <dataValidation type="list" sqref="M26" xr:uid="{8583B594-723F-47F4-84D0-5B00A3FF2F7C}">
      <formula1>=IF(L26&lt;&gt;"",INDIRECT(VLOOKUP(L26,ThangLuongData,3,FALSE)),"")</formula1>
    </dataValidation>
    <dataValidation type="list" sqref="N26" xr:uid="{F5E6F983-944A-4953-92B9-E6D0E40FC1C8}">
      <formula1>=IF(M26&lt;&gt;"",INDIRECT(VLOOKUP(M26,NgachLuongData,4,FALSE)),"")</formula1>
    </dataValidation>
    <dataValidation type="list" sqref="M27" xr:uid="{B30DD2C6-1185-4841-A0B2-4BD4B8E595D9}">
      <formula1>=IF(L27&lt;&gt;"",INDIRECT(VLOOKUP(L27,ThangLuongData,3,FALSE)),"")</formula1>
    </dataValidation>
    <dataValidation type="list" sqref="N27" xr:uid="{D02357FF-8E70-4317-B8DC-D1F4FC1B8C47}">
      <formula1>=IF(M27&lt;&gt;"",INDIRECT(VLOOKUP(M27,NgachLuongData,4,FALSE)),"")</formula1>
    </dataValidation>
    <dataValidation type="list" sqref="M28" xr:uid="{B80CAAE8-BB5E-4159-BDC7-B6B4F38A0386}">
      <formula1>=IF(L28&lt;&gt;"",INDIRECT(VLOOKUP(L28,ThangLuongData,3,FALSE)),"")</formula1>
    </dataValidation>
    <dataValidation type="list" sqref="N28" xr:uid="{99205A10-E330-43AE-92E8-935574BF5E0A}">
      <formula1>=IF(M28&lt;&gt;"",INDIRECT(VLOOKUP(M28,NgachLuongData,4,FALSE)),"")</formula1>
    </dataValidation>
    <dataValidation type="list" sqref="M29" xr:uid="{152A2D3B-C86D-4FC6-8ED3-E78FF4BC6A1E}">
      <formula1>=IF(L29&lt;&gt;"",INDIRECT(VLOOKUP(L29,ThangLuongData,3,FALSE)),"")</formula1>
    </dataValidation>
    <dataValidation type="list" sqref="N29" xr:uid="{D8198A33-9434-43F8-B2E1-D152568D2B8F}">
      <formula1>=IF(M29&lt;&gt;"",INDIRECT(VLOOKUP(M29,NgachLuongData,4,FALSE)),"")</formula1>
    </dataValidation>
    <dataValidation type="list" sqref="M30" xr:uid="{398CC339-F84F-4444-BF0E-75329B81C991}">
      <formula1>=IF(L30&lt;&gt;"",INDIRECT(VLOOKUP(L30,ThangLuongData,3,FALSE)),"")</formula1>
    </dataValidation>
    <dataValidation type="list" sqref="N30" xr:uid="{68F1B4BC-FD41-485C-A26C-9517C22895BE}">
      <formula1>=IF(M30&lt;&gt;"",INDIRECT(VLOOKUP(M30,NgachLuongData,4,FALSE)),"")</formula1>
    </dataValidation>
    <dataValidation type="list" sqref="M31" xr:uid="{70CA6E7C-0E1B-4954-85DC-083DCDA188D7}">
      <formula1>=IF(L31&lt;&gt;"",INDIRECT(VLOOKUP(L31,ThangLuongData,3,FALSE)),"")</formula1>
    </dataValidation>
    <dataValidation type="list" sqref="N31" xr:uid="{97318338-2315-4C32-83D4-0F0E20657A4C}">
      <formula1>=IF(M31&lt;&gt;"",INDIRECT(VLOOKUP(M31,NgachLuongData,4,FALSE)),"")</formula1>
    </dataValidation>
    <dataValidation type="list" sqref="M32" xr:uid="{1D8194D2-6CBD-478F-BB5A-EB2BD06BFA2E}">
      <formula1>=IF(L32&lt;&gt;"",INDIRECT(VLOOKUP(L32,ThangLuongData,3,FALSE)),"")</formula1>
    </dataValidation>
    <dataValidation type="list" sqref="N32" xr:uid="{1389C4C3-3763-453A-B667-3A8980308412}">
      <formula1>=IF(M32&lt;&gt;"",INDIRECT(VLOOKUP(M32,NgachLuongData,4,FALSE)),"")</formula1>
    </dataValidation>
    <dataValidation type="list" sqref="M33" xr:uid="{2BFC4AD1-4BF1-44F4-971A-903A3E87A64A}">
      <formula1>=IF(L33&lt;&gt;"",INDIRECT(VLOOKUP(L33,ThangLuongData,3,FALSE)),"")</formula1>
    </dataValidation>
    <dataValidation type="list" sqref="N33" xr:uid="{414A9635-D1BF-4A57-B817-3BC890F65548}">
      <formula1>=IF(M33&lt;&gt;"",INDIRECT(VLOOKUP(M33,NgachLuongData,4,FALSE)),"")</formula1>
    </dataValidation>
    <dataValidation type="list" sqref="M34" xr:uid="{EC6AE861-B42D-411C-A936-9C686B5AF258}">
      <formula1>=IF(L34&lt;&gt;"",INDIRECT(VLOOKUP(L34,ThangLuongData,3,FALSE)),"")</formula1>
    </dataValidation>
    <dataValidation type="list" sqref="N34" xr:uid="{E100B2A7-05D9-4770-916D-BC2783126DE5}">
      <formula1>=IF(M34&lt;&gt;"",INDIRECT(VLOOKUP(M34,NgachLuongData,4,FALSE)),"")</formula1>
    </dataValidation>
    <dataValidation type="list" sqref="M35" xr:uid="{D988425B-A01A-400E-B99E-5021F3C96CEE}">
      <formula1>=IF(L35&lt;&gt;"",INDIRECT(VLOOKUP(L35,ThangLuongData,3,FALSE)),"")</formula1>
    </dataValidation>
    <dataValidation type="list" sqref="N35" xr:uid="{0B3FBC75-1BDF-45A8-B760-D0739A094B8D}">
      <formula1>=IF(M35&lt;&gt;"",INDIRECT(VLOOKUP(M35,NgachLuongData,4,FALSE)),"")</formula1>
    </dataValidation>
    <dataValidation type="list" sqref="M36" xr:uid="{B7722222-5564-4AC8-A383-A44649196E3B}">
      <formula1>=IF(L36&lt;&gt;"",INDIRECT(VLOOKUP(L36,ThangLuongData,3,FALSE)),"")</formula1>
    </dataValidation>
    <dataValidation type="list" sqref="N36" xr:uid="{9C9CFF7A-CC85-4513-ABE3-5C2501D9BA8B}">
      <formula1>=IF(M36&lt;&gt;"",INDIRECT(VLOOKUP(M36,NgachLuongData,4,FALSE)),"")</formula1>
    </dataValidation>
    <dataValidation type="list" sqref="M37" xr:uid="{334391C0-B4B0-4939-BBDD-53D3429C4440}">
      <formula1>=IF(L37&lt;&gt;"",INDIRECT(VLOOKUP(L37,ThangLuongData,3,FALSE)),"")</formula1>
    </dataValidation>
    <dataValidation type="list" sqref="N37" xr:uid="{9108D71C-969C-4199-8ED7-FE9F12B0C621}">
      <formula1>=IF(M37&lt;&gt;"",INDIRECT(VLOOKUP(M37,NgachLuongData,4,FALSE)),"")</formula1>
    </dataValidation>
    <dataValidation type="list" sqref="M38" xr:uid="{A2EAB137-EF75-41C9-A839-6B444838AE63}">
      <formula1>=IF(L38&lt;&gt;"",INDIRECT(VLOOKUP(L38,ThangLuongData,3,FALSE)),"")</formula1>
    </dataValidation>
    <dataValidation type="list" sqref="N38" xr:uid="{C3A47F9A-2148-4C63-80FC-4BCCE13C93D9}">
      <formula1>=IF(M38&lt;&gt;"",INDIRECT(VLOOKUP(M38,NgachLuongData,4,FALSE)),"")</formula1>
    </dataValidation>
    <dataValidation type="list" sqref="M39" xr:uid="{C8CCC356-14B6-4E7C-917B-27EFE587CE75}">
      <formula1>=IF(L39&lt;&gt;"",INDIRECT(VLOOKUP(L39,ThangLuongData,3,FALSE)),"")</formula1>
    </dataValidation>
    <dataValidation type="list" sqref="N39" xr:uid="{9F62B170-1155-43C8-A9CC-49D12C56391D}">
      <formula1>=IF(M39&lt;&gt;"",INDIRECT(VLOOKUP(M39,NgachLuongData,4,FALSE)),"")</formula1>
    </dataValidation>
    <dataValidation type="list" sqref="M40" xr:uid="{7D38D41F-9E09-4409-974F-26201A7DF84E}">
      <formula1>=IF(L40&lt;&gt;"",INDIRECT(VLOOKUP(L40,ThangLuongData,3,FALSE)),"")</formula1>
    </dataValidation>
    <dataValidation type="list" sqref="N40" xr:uid="{E54EF0C6-2009-4927-A4A1-097B889FA265}">
      <formula1>=IF(M40&lt;&gt;"",INDIRECT(VLOOKUP(M40,NgachLuongData,4,FALSE)),"")</formula1>
    </dataValidation>
    <dataValidation type="list" sqref="M41" xr:uid="{9AA442CB-1CCC-4097-84E8-0FC19A534C1D}">
      <formula1>=IF(L41&lt;&gt;"",INDIRECT(VLOOKUP(L41,ThangLuongData,3,FALSE)),"")</formula1>
    </dataValidation>
    <dataValidation type="list" sqref="N41" xr:uid="{09774392-AFC0-4D93-85FF-F27DAF1B8776}">
      <formula1>=IF(M41&lt;&gt;"",INDIRECT(VLOOKUP(M41,NgachLuongData,4,FALSE)),"")</formula1>
    </dataValidation>
    <dataValidation type="list" sqref="M42" xr:uid="{72840077-476E-4C4F-B24D-37FC39E5E45C}">
      <formula1>=IF(L42&lt;&gt;"",INDIRECT(VLOOKUP(L42,ThangLuongData,3,FALSE)),"")</formula1>
    </dataValidation>
    <dataValidation type="list" sqref="N42" xr:uid="{DC54B18B-C18F-4DC0-AD17-14481FD93A0F}">
      <formula1>=IF(M42&lt;&gt;"",INDIRECT(VLOOKUP(M42,NgachLuongData,4,FALSE)),"")</formula1>
    </dataValidation>
    <dataValidation type="list" sqref="M43" xr:uid="{8E1F6BA3-8643-4585-B64D-B6FF12293551}">
      <formula1>=IF(L43&lt;&gt;"",INDIRECT(VLOOKUP(L43,ThangLuongData,3,FALSE)),"")</formula1>
    </dataValidation>
    <dataValidation type="list" sqref="N43" xr:uid="{E87BFFE5-CFB0-4A9E-A7E7-773D21EBC485}">
      <formula1>=IF(M43&lt;&gt;"",INDIRECT(VLOOKUP(M43,NgachLuongData,4,FALSE)),"")</formula1>
    </dataValidation>
    <dataValidation type="list" sqref="M44" xr:uid="{F1742A1C-978C-4DD6-8C50-475055D97F6C}">
      <formula1>=IF(L44&lt;&gt;"",INDIRECT(VLOOKUP(L44,ThangLuongData,3,FALSE)),"")</formula1>
    </dataValidation>
    <dataValidation type="list" sqref="N44" xr:uid="{4DD9310D-EB8E-46F7-BBCC-322B13C61A7C}">
      <formula1>=IF(M44&lt;&gt;"",INDIRECT(VLOOKUP(M44,NgachLuongData,4,FALSE)),"")</formula1>
    </dataValidation>
    <dataValidation type="list" sqref="M45" xr:uid="{D6E7CC9A-45DC-4CC4-96D7-971A5143E864}">
      <formula1>=IF(L45&lt;&gt;"",INDIRECT(VLOOKUP(L45,ThangLuongData,3,FALSE)),"")</formula1>
    </dataValidation>
    <dataValidation type="list" sqref="N45" xr:uid="{058B376E-594A-49BB-8327-72F4FF9D3E49}">
      <formula1>=IF(M45&lt;&gt;"",INDIRECT(VLOOKUP(M45,NgachLuongData,4,FALSE)),"")</formula1>
    </dataValidation>
    <dataValidation type="list" sqref="M46" xr:uid="{B3482ADC-30A3-41DE-A637-5B5C0B895E5F}">
      <formula1>=IF(L46&lt;&gt;"",INDIRECT(VLOOKUP(L46,ThangLuongData,3,FALSE)),"")</formula1>
    </dataValidation>
    <dataValidation type="list" sqref="N46" xr:uid="{2875CC08-C377-43D7-820B-0210BD65DACB}">
      <formula1>=IF(M46&lt;&gt;"",INDIRECT(VLOOKUP(M46,NgachLuongData,4,FALSE)),"")</formula1>
    </dataValidation>
    <dataValidation type="list" sqref="M47" xr:uid="{C87D5279-8071-443A-9FB2-B0CB76E7BD72}">
      <formula1>=IF(L47&lt;&gt;"",INDIRECT(VLOOKUP(L47,ThangLuongData,3,FALSE)),"")</formula1>
    </dataValidation>
    <dataValidation type="list" sqref="N47" xr:uid="{E6332450-69C5-4C49-B04A-B65BE711AEC9}">
      <formula1>=IF(M47&lt;&gt;"",INDIRECT(VLOOKUP(M47,NgachLuongData,4,FALSE)),"")</formula1>
    </dataValidation>
    <dataValidation type="list" sqref="M48" xr:uid="{646A78FB-5BB4-4347-AB98-7E4A4FE705E0}">
      <formula1>=IF(L48&lt;&gt;"",INDIRECT(VLOOKUP(L48,ThangLuongData,3,FALSE)),"")</formula1>
    </dataValidation>
    <dataValidation type="list" sqref="N48" xr:uid="{79BD7D14-4723-4E7C-A505-6AD68D345885}">
      <formula1>=IF(M48&lt;&gt;"",INDIRECT(VLOOKUP(M48,NgachLuongData,4,FALSE)),"")</formula1>
    </dataValidation>
    <dataValidation type="list" sqref="M49" xr:uid="{2AB590FF-331E-4574-92F1-1ACC47F43A88}">
      <formula1>=IF(L49&lt;&gt;"",INDIRECT(VLOOKUP(L49,ThangLuongData,3,FALSE)),"")</formula1>
    </dataValidation>
    <dataValidation type="list" sqref="N49" xr:uid="{7F29EAA4-0873-49E1-A961-8C1C158D06F7}">
      <formula1>=IF(M49&lt;&gt;"",INDIRECT(VLOOKUP(M49,NgachLuongData,4,FALSE)),"")</formula1>
    </dataValidation>
    <dataValidation type="list" sqref="M50" xr:uid="{F7F183BF-AB9A-461B-BD4D-7A4526B20C8C}">
      <formula1>=IF(L50&lt;&gt;"",INDIRECT(VLOOKUP(L50,ThangLuongData,3,FALSE)),"")</formula1>
    </dataValidation>
    <dataValidation type="list" sqref="N50" xr:uid="{FBFB128C-9CF7-4EE2-83E7-33D3E6272F34}">
      <formula1>=IF(M50&lt;&gt;"",INDIRECT(VLOOKUP(M50,NgachLuongData,4,FALSE)),"")</formula1>
    </dataValidation>
    <dataValidation type="list" sqref="M51" xr:uid="{F676A796-49A6-4859-93F1-9CBE243B42B9}">
      <formula1>=IF(L51&lt;&gt;"",INDIRECT(VLOOKUP(L51,ThangLuongData,3,FALSE)),"")</formula1>
    </dataValidation>
    <dataValidation type="list" sqref="N51" xr:uid="{F67DD791-E272-4DEB-8491-2C64AC3EEFCC}">
      <formula1>=IF(M51&lt;&gt;"",INDIRECT(VLOOKUP(M51,NgachLuongData,4,FALSE)),"")</formula1>
    </dataValidation>
    <dataValidation type="list" sqref="M52" xr:uid="{8E6C8905-A0DA-4451-A7F0-77AAE8E51670}">
      <formula1>=IF(L52&lt;&gt;"",INDIRECT(VLOOKUP(L52,ThangLuongData,3,FALSE)),"")</formula1>
    </dataValidation>
    <dataValidation type="list" sqref="N52" xr:uid="{C4445BBF-8897-467C-B4DD-098F1F467D69}">
      <formula1>=IF(M52&lt;&gt;"",INDIRECT(VLOOKUP(M52,NgachLuongData,4,FALSE)),"")</formula1>
    </dataValidation>
    <dataValidation type="list" sqref="M53" xr:uid="{025D35D0-3432-470D-8688-E17DCE9C0AD3}">
      <formula1>=IF(L53&lt;&gt;"",INDIRECT(VLOOKUP(L53,ThangLuongData,3,FALSE)),"")</formula1>
    </dataValidation>
    <dataValidation type="list" sqref="N53" xr:uid="{A61612F7-4C40-40C2-84C6-416AE6FEAC16}">
      <formula1>=IF(M53&lt;&gt;"",INDIRECT(VLOOKUP(M53,NgachLuongData,4,FALSE)),"")</formula1>
    </dataValidation>
    <dataValidation type="list" sqref="M54" xr:uid="{52D9422D-9AB4-454E-B2E3-E17C3266E806}">
      <formula1>=IF(L54&lt;&gt;"",INDIRECT(VLOOKUP(L54,ThangLuongData,3,FALSE)),"")</formula1>
    </dataValidation>
    <dataValidation type="list" sqref="N54" xr:uid="{E32D8346-D333-4609-8E51-F19EE9739E44}">
      <formula1>=IF(M54&lt;&gt;"",INDIRECT(VLOOKUP(M54,NgachLuongData,4,FALSE)),"")</formula1>
    </dataValidation>
    <dataValidation type="list" sqref="M55" xr:uid="{C9EED16D-AD60-4B8A-BF66-88D6ACBACA6D}">
      <formula1>=IF(L55&lt;&gt;"",INDIRECT(VLOOKUP(L55,ThangLuongData,3,FALSE)),"")</formula1>
    </dataValidation>
    <dataValidation type="list" sqref="N55" xr:uid="{67924E0E-02D0-45C0-BD1E-23C38FCC473F}">
      <formula1>=IF(M55&lt;&gt;"",INDIRECT(VLOOKUP(M55,NgachLuongData,4,FALSE)),"")</formula1>
    </dataValidation>
    <dataValidation type="list" sqref="M56" xr:uid="{C1C97A6A-1B39-47B7-8892-E573E129343B}">
      <formula1>=IF(L56&lt;&gt;"",INDIRECT(VLOOKUP(L56,ThangLuongData,3,FALSE)),"")</formula1>
    </dataValidation>
    <dataValidation type="list" sqref="N56" xr:uid="{6C594F3F-8985-4288-BEAC-30FDA26BB354}">
      <formula1>=IF(M56&lt;&gt;"",INDIRECT(VLOOKUP(M56,NgachLuongData,4,FALSE)),"")</formula1>
    </dataValidation>
    <dataValidation type="list" sqref="M57" xr:uid="{8C6827D6-46F3-438A-B445-B3857A69F006}">
      <formula1>=IF(L57&lt;&gt;"",INDIRECT(VLOOKUP(L57,ThangLuongData,3,FALSE)),"")</formula1>
    </dataValidation>
    <dataValidation type="list" sqref="N57" xr:uid="{AF52A2D4-8298-47BD-B055-E2AB1CC4F1F1}">
      <formula1>=IF(M57&lt;&gt;"",INDIRECT(VLOOKUP(M57,NgachLuongData,4,FALSE)),"")</formula1>
    </dataValidation>
    <dataValidation type="list" sqref="M58" xr:uid="{0A757C47-DF72-49FB-853E-2911FFEE197C}">
      <formula1>=IF(L58&lt;&gt;"",INDIRECT(VLOOKUP(L58,ThangLuongData,3,FALSE)),"")</formula1>
    </dataValidation>
    <dataValidation type="list" sqref="N58" xr:uid="{82247B13-E9D8-4B61-96C6-8BF34A85E34F}">
      <formula1>=IF(M58&lt;&gt;"",INDIRECT(VLOOKUP(M58,NgachLuongData,4,FALSE)),"")</formula1>
    </dataValidation>
    <dataValidation type="list" sqref="M59" xr:uid="{8AF33EF9-4BCC-4F3E-AEFC-1736F55DFEDB}">
      <formula1>=IF(L59&lt;&gt;"",INDIRECT(VLOOKUP(L59,ThangLuongData,3,FALSE)),"")</formula1>
    </dataValidation>
    <dataValidation type="list" sqref="N59" xr:uid="{A1EE052C-96CE-4B42-8207-469D7EF20001}">
      <formula1>=IF(M59&lt;&gt;"",INDIRECT(VLOOKUP(M59,NgachLuongData,4,FALSE)),"")</formula1>
    </dataValidation>
    <dataValidation type="list" sqref="M60" xr:uid="{E2A52421-DFD5-4F71-AF58-DDA4E59D2676}">
      <formula1>=IF(L60&lt;&gt;"",INDIRECT(VLOOKUP(L60,ThangLuongData,3,FALSE)),"")</formula1>
    </dataValidation>
    <dataValidation type="list" sqref="N60" xr:uid="{DF6B800E-450C-45E3-8BDE-CF1CFB54EAC9}">
      <formula1>=IF(M60&lt;&gt;"",INDIRECT(VLOOKUP(M60,NgachLuongData,4,FALSE)),"")</formula1>
    </dataValidation>
    <dataValidation type="list" sqref="M61" xr:uid="{6574D916-AB15-4113-B493-E084451034F8}">
      <formula1>=IF(L61&lt;&gt;"",INDIRECT(VLOOKUP(L61,ThangLuongData,3,FALSE)),"")</formula1>
    </dataValidation>
    <dataValidation type="list" sqref="N61" xr:uid="{979C4D1F-D9B2-4A65-95F9-1F13DCE3FE5B}">
      <formula1>=IF(M61&lt;&gt;"",INDIRECT(VLOOKUP(M61,NgachLuongData,4,FALSE)),"")</formula1>
    </dataValidation>
    <dataValidation type="list" sqref="M62" xr:uid="{3D6A0D2D-316B-415D-962A-2945A6C59106}">
      <formula1>=IF(L62&lt;&gt;"",INDIRECT(VLOOKUP(L62,ThangLuongData,3,FALSE)),"")</formula1>
    </dataValidation>
    <dataValidation type="list" sqref="N62" xr:uid="{3CC7AADF-0A60-40FF-A5BC-67EEE2717835}">
      <formula1>=IF(M62&lt;&gt;"",INDIRECT(VLOOKUP(M62,NgachLuongData,4,FALSE)),"")</formula1>
    </dataValidation>
    <dataValidation type="list" sqref="M63" xr:uid="{2D380C6D-2F87-4308-A087-C83777C63EB8}">
      <formula1>=IF(L63&lt;&gt;"",INDIRECT(VLOOKUP(L63,ThangLuongData,3,FALSE)),"")</formula1>
    </dataValidation>
    <dataValidation type="list" sqref="N63" xr:uid="{C33378F3-F880-4191-A852-C1CD99E2273E}">
      <formula1>=IF(M63&lt;&gt;"",INDIRECT(VLOOKUP(M63,NgachLuongData,4,FALSE)),"")</formula1>
    </dataValidation>
    <dataValidation type="list" sqref="M64" xr:uid="{618795E5-0FD5-4872-A25B-351BDAA41C75}">
      <formula1>=IF(L64&lt;&gt;"",INDIRECT(VLOOKUP(L64,ThangLuongData,3,FALSE)),"")</formula1>
    </dataValidation>
    <dataValidation type="list" sqref="N64" xr:uid="{B742D97E-CD35-498E-BA95-66F2E7DA8BEF}">
      <formula1>=IF(M64&lt;&gt;"",INDIRECT(VLOOKUP(M64,NgachLuongData,4,FALSE)),"")</formula1>
    </dataValidation>
    <dataValidation type="list" sqref="M65" xr:uid="{06C3D699-7DCE-48FA-B75C-65332007C5E6}">
      <formula1>=IF(L65&lt;&gt;"",INDIRECT(VLOOKUP(L65,ThangLuongData,3,FALSE)),"")</formula1>
    </dataValidation>
    <dataValidation type="list" sqref="N65" xr:uid="{2CD7D871-0618-4416-891C-CF69064ACFE8}">
      <formula1>=IF(M65&lt;&gt;"",INDIRECT(VLOOKUP(M65,NgachLuongData,4,FALSE)),"")</formula1>
    </dataValidation>
    <dataValidation type="list" sqref="M66" xr:uid="{7802832B-319E-4B4B-927E-871516E41FAB}">
      <formula1>=IF(L66&lt;&gt;"",INDIRECT(VLOOKUP(L66,ThangLuongData,3,FALSE)),"")</formula1>
    </dataValidation>
    <dataValidation type="list" sqref="N66" xr:uid="{D79E7F4C-9242-425E-9994-934CBBA5A70B}">
      <formula1>=IF(M66&lt;&gt;"",INDIRECT(VLOOKUP(M66,NgachLuongData,4,FALSE)),"")</formula1>
    </dataValidation>
    <dataValidation type="list" sqref="M67" xr:uid="{4ECA7A2F-618F-4CD3-8992-EEEA8175FB7B}">
      <formula1>=IF(L67&lt;&gt;"",INDIRECT(VLOOKUP(L67,ThangLuongData,3,FALSE)),"")</formula1>
    </dataValidation>
    <dataValidation type="list" sqref="N67" xr:uid="{C194272E-7880-419F-BDD2-60CD6126D291}">
      <formula1>=IF(M67&lt;&gt;"",INDIRECT(VLOOKUP(M67,NgachLuongData,4,FALSE)),"")</formula1>
    </dataValidation>
    <dataValidation type="list" sqref="M68" xr:uid="{5C497880-DB6B-41E7-A17C-FD6F41A2D2B9}">
      <formula1>=IF(L68&lt;&gt;"",INDIRECT(VLOOKUP(L68,ThangLuongData,3,FALSE)),"")</formula1>
    </dataValidation>
    <dataValidation type="list" sqref="N68" xr:uid="{E08BC3A9-AE3A-4F40-90A4-9B2FB3465E1E}">
      <formula1>=IF(M68&lt;&gt;"",INDIRECT(VLOOKUP(M68,NgachLuongData,4,FALSE)),"")</formula1>
    </dataValidation>
    <dataValidation type="list" sqref="M69" xr:uid="{A2017E80-C54C-43E3-88AF-771787A1DB22}">
      <formula1>=IF(L69&lt;&gt;"",INDIRECT(VLOOKUP(L69,ThangLuongData,3,FALSE)),"")</formula1>
    </dataValidation>
    <dataValidation type="list" sqref="N69" xr:uid="{49D2BA7F-3118-4686-904F-CCC153079018}">
      <formula1>=IF(M69&lt;&gt;"",INDIRECT(VLOOKUP(M69,NgachLuongData,4,FALSE)),"")</formula1>
    </dataValidation>
    <dataValidation type="list" sqref="M70" xr:uid="{AED63CF9-1124-4D91-998A-DA5F318CCF6B}">
      <formula1>=IF(L70&lt;&gt;"",INDIRECT(VLOOKUP(L70,ThangLuongData,3,FALSE)),"")</formula1>
    </dataValidation>
    <dataValidation type="list" sqref="N70" xr:uid="{2F5A7164-BBDA-46E7-9138-E5C4C896E413}">
      <formula1>=IF(M70&lt;&gt;"",INDIRECT(VLOOKUP(M70,NgachLuongData,4,FALSE)),"")</formula1>
    </dataValidation>
    <dataValidation type="list" sqref="M71" xr:uid="{4E30BE65-3966-47A8-964B-1C983D6FE304}">
      <formula1>=IF(L71&lt;&gt;"",INDIRECT(VLOOKUP(L71,ThangLuongData,3,FALSE)),"")</formula1>
    </dataValidation>
    <dataValidation type="list" sqref="N71" xr:uid="{FAE299BB-325B-4254-B557-9F150AD2F3E9}">
      <formula1>=IF(M71&lt;&gt;"",INDIRECT(VLOOKUP(M71,NgachLuongData,4,FALSE)),"")</formula1>
    </dataValidation>
    <dataValidation type="list" sqref="M72" xr:uid="{F9A1BEAE-E466-4E85-A69B-E5E32278C291}">
      <formula1>=IF(L72&lt;&gt;"",INDIRECT(VLOOKUP(L72,ThangLuongData,3,FALSE)),"")</formula1>
    </dataValidation>
    <dataValidation type="list" sqref="N72" xr:uid="{EB6F2BD4-95AC-406B-8810-5823374586C6}">
      <formula1>=IF(M72&lt;&gt;"",INDIRECT(VLOOKUP(M72,NgachLuongData,4,FALSE)),"")</formula1>
    </dataValidation>
    <dataValidation type="list" sqref="M73" xr:uid="{2947B47A-2CD5-4C98-A035-D1CA08270CAE}">
      <formula1>=IF(L73&lt;&gt;"",INDIRECT(VLOOKUP(L73,ThangLuongData,3,FALSE)),"")</formula1>
    </dataValidation>
    <dataValidation type="list" sqref="N73" xr:uid="{F6663B43-50CA-4691-B510-39D43BB54F4B}">
      <formula1>=IF(M73&lt;&gt;"",INDIRECT(VLOOKUP(M73,NgachLuongData,4,FALSE)),"")</formula1>
    </dataValidation>
    <dataValidation type="list" sqref="M74" xr:uid="{27E8AC52-7B5A-4471-B82E-9E8B9420956A}">
      <formula1>=IF(L74&lt;&gt;"",INDIRECT(VLOOKUP(L74,ThangLuongData,3,FALSE)),"")</formula1>
    </dataValidation>
    <dataValidation type="list" sqref="N74" xr:uid="{6E25A0DB-016D-495E-BA29-3A58DEA5611E}">
      <formula1>=IF(M74&lt;&gt;"",INDIRECT(VLOOKUP(M74,NgachLuongData,4,FALSE)),"")</formula1>
    </dataValidation>
    <dataValidation type="list" sqref="M75" xr:uid="{88802CE2-80EC-4086-9B5E-1E7545EBA669}">
      <formula1>=IF(L75&lt;&gt;"",INDIRECT(VLOOKUP(L75,ThangLuongData,3,FALSE)),"")</formula1>
    </dataValidation>
    <dataValidation type="list" sqref="N75" xr:uid="{4D46D532-164B-4B6D-B905-CCCE26527CAC}">
      <formula1>=IF(M75&lt;&gt;"",INDIRECT(VLOOKUP(M75,NgachLuongData,4,FALSE)),"")</formula1>
    </dataValidation>
    <dataValidation type="list" sqref="M76" xr:uid="{CBDE9792-1B59-4CB0-8C94-29EDADA174D6}">
      <formula1>=IF(L76&lt;&gt;"",INDIRECT(VLOOKUP(L76,ThangLuongData,3,FALSE)),"")</formula1>
    </dataValidation>
    <dataValidation type="list" sqref="N76" xr:uid="{D8A44ADC-110E-444D-AB60-5273A7C324BD}">
      <formula1>=IF(M76&lt;&gt;"",INDIRECT(VLOOKUP(M76,NgachLuongData,4,FALSE)),"")</formula1>
    </dataValidation>
    <dataValidation type="list" sqref="M77" xr:uid="{FE187C17-C126-4232-AF59-A554A9F6F562}">
      <formula1>=IF(L77&lt;&gt;"",INDIRECT(VLOOKUP(L77,ThangLuongData,3,FALSE)),"")</formula1>
    </dataValidation>
    <dataValidation type="list" sqref="N77" xr:uid="{5586AF08-CB40-4A6D-883B-D577D9119790}">
      <formula1>=IF(M77&lt;&gt;"",INDIRECT(VLOOKUP(M77,NgachLuongData,4,FALSE)),"")</formula1>
    </dataValidation>
    <dataValidation type="list" sqref="M78" xr:uid="{29A1592E-4429-438C-B917-336D7F04AD1A}">
      <formula1>=IF(L78&lt;&gt;"",INDIRECT(VLOOKUP(L78,ThangLuongData,3,FALSE)),"")</formula1>
    </dataValidation>
    <dataValidation type="list" sqref="N78" xr:uid="{C58BBF51-68B4-405E-9AE8-39F5D6838FE7}">
      <formula1>=IF(M78&lt;&gt;"",INDIRECT(VLOOKUP(M78,NgachLuongData,4,FALSE)),"")</formula1>
    </dataValidation>
    <dataValidation type="list" sqref="M79" xr:uid="{375B8183-E420-4B9F-BF30-B12BD18E94CD}">
      <formula1>=IF(L79&lt;&gt;"",INDIRECT(VLOOKUP(L79,ThangLuongData,3,FALSE)),"")</formula1>
    </dataValidation>
    <dataValidation type="list" sqref="N79" xr:uid="{78029853-AE9E-4E69-ABB2-E0B63DF8A742}">
      <formula1>=IF(M79&lt;&gt;"",INDIRECT(VLOOKUP(M79,NgachLuongData,4,FALSE)),"")</formula1>
    </dataValidation>
    <dataValidation type="list" sqref="M80" xr:uid="{A2786073-CAC7-46E8-9B4A-53D76CDE59F6}">
      <formula1>=IF(L80&lt;&gt;"",INDIRECT(VLOOKUP(L80,ThangLuongData,3,FALSE)),"")</formula1>
    </dataValidation>
    <dataValidation type="list" sqref="N80" xr:uid="{84780E1B-FF6B-4D02-920D-C9BE7BC532F9}">
      <formula1>=IF(M80&lt;&gt;"",INDIRECT(VLOOKUP(M80,NgachLuongData,4,FALSE)),"")</formula1>
    </dataValidation>
    <dataValidation type="list" sqref="M81" xr:uid="{94477EF1-DABE-414C-ADBC-4B549FCA97EB}">
      <formula1>=IF(L81&lt;&gt;"",INDIRECT(VLOOKUP(L81,ThangLuongData,3,FALSE)),"")</formula1>
    </dataValidation>
    <dataValidation type="list" sqref="N81" xr:uid="{E246FED5-7D9B-42E8-B8FA-DA2ACAC40533}">
      <formula1>=IF(M81&lt;&gt;"",INDIRECT(VLOOKUP(M81,NgachLuongData,4,FALSE)),"")</formula1>
    </dataValidation>
    <dataValidation type="list" sqref="M82" xr:uid="{2186426C-E16E-4F36-ABA0-77454918DCE3}">
      <formula1>=IF(L82&lt;&gt;"",INDIRECT(VLOOKUP(L82,ThangLuongData,3,FALSE)),"")</formula1>
    </dataValidation>
    <dataValidation type="list" sqref="N82" xr:uid="{9F27CA44-67A3-48D9-AB62-00FF997C0264}">
      <formula1>=IF(M82&lt;&gt;"",INDIRECT(VLOOKUP(M82,NgachLuongData,4,FALSE)),"")</formula1>
    </dataValidation>
    <dataValidation type="list" sqref="M83" xr:uid="{B18D46DD-C4BA-4CDA-815E-D642FDF70D59}">
      <formula1>=IF(L83&lt;&gt;"",INDIRECT(VLOOKUP(L83,ThangLuongData,3,FALSE)),"")</formula1>
    </dataValidation>
    <dataValidation type="list" sqref="N83" xr:uid="{5DA6DDB3-3D77-49B5-B649-A7F6DC77BB0F}">
      <formula1>=IF(M83&lt;&gt;"",INDIRECT(VLOOKUP(M83,NgachLuongData,4,FALSE)),"")</formula1>
    </dataValidation>
    <dataValidation type="list" sqref="M84" xr:uid="{8FDDE213-C211-4C3C-B130-26A21C01AFFE}">
      <formula1>=IF(L84&lt;&gt;"",INDIRECT(VLOOKUP(L84,ThangLuongData,3,FALSE)),"")</formula1>
    </dataValidation>
    <dataValidation type="list" sqref="N84" xr:uid="{BE921E9C-47C7-4A3C-9999-D30B32768AE4}">
      <formula1>=IF(M84&lt;&gt;"",INDIRECT(VLOOKUP(M84,NgachLuongData,4,FALSE)),"")</formula1>
    </dataValidation>
    <dataValidation type="list" sqref="M85" xr:uid="{5207C77C-C0D8-4BAB-A528-3B2A10BDA41C}">
      <formula1>=IF(L85&lt;&gt;"",INDIRECT(VLOOKUP(L85,ThangLuongData,3,FALSE)),"")</formula1>
    </dataValidation>
    <dataValidation type="list" sqref="N85" xr:uid="{11549CF5-9AF2-41E7-AF4D-3F2198165BBD}">
      <formula1>=IF(M85&lt;&gt;"",INDIRECT(VLOOKUP(M85,NgachLuongData,4,FALSE)),"")</formula1>
    </dataValidation>
    <dataValidation type="list" sqref="M86" xr:uid="{313A37AD-4C39-4753-BD9C-78A4ED91391D}">
      <formula1>=IF(L86&lt;&gt;"",INDIRECT(VLOOKUP(L86,ThangLuongData,3,FALSE)),"")</formula1>
    </dataValidation>
    <dataValidation type="list" sqref="N86" xr:uid="{15DCE614-5094-4CAD-A2E0-973E3D5723AB}">
      <formula1>=IF(M86&lt;&gt;"",INDIRECT(VLOOKUP(M86,NgachLuongData,4,FALSE)),"")</formula1>
    </dataValidation>
    <dataValidation type="list" sqref="M87" xr:uid="{93C11F28-ED5D-4F99-BC5D-BD68ACD15A7F}">
      <formula1>=IF(L87&lt;&gt;"",INDIRECT(VLOOKUP(L87,ThangLuongData,3,FALSE)),"")</formula1>
    </dataValidation>
    <dataValidation type="list" sqref="N87" xr:uid="{908950C5-508B-4393-8A82-671454D0F68F}">
      <formula1>=IF(M87&lt;&gt;"",INDIRECT(VLOOKUP(M87,NgachLuongData,4,FALSE)),"")</formula1>
    </dataValidation>
    <dataValidation type="list" sqref="M88" xr:uid="{AFA528D4-AB9F-408D-A5DD-E6482453A457}">
      <formula1>=IF(L88&lt;&gt;"",INDIRECT(VLOOKUP(L88,ThangLuongData,3,FALSE)),"")</formula1>
    </dataValidation>
    <dataValidation type="list" sqref="N88" xr:uid="{D23038CF-0806-4903-8A59-1E80CFEF80E8}">
      <formula1>=IF(M88&lt;&gt;"",INDIRECT(VLOOKUP(M88,NgachLuongData,4,FALSE)),"")</formula1>
    </dataValidation>
    <dataValidation type="list" sqref="M89" xr:uid="{90686643-04B8-4B71-8C48-8FBA0A9189F2}">
      <formula1>=IF(L89&lt;&gt;"",INDIRECT(VLOOKUP(L89,ThangLuongData,3,FALSE)),"")</formula1>
    </dataValidation>
    <dataValidation type="list" sqref="N89" xr:uid="{5A6D99B3-9CC6-4BAC-A115-DF98578AEC2D}">
      <formula1>=IF(M89&lt;&gt;"",INDIRECT(VLOOKUP(M89,NgachLuongData,4,FALSE)),"")</formula1>
    </dataValidation>
    <dataValidation type="list" sqref="M90" xr:uid="{F8F68CA0-FB3C-40AC-8B49-823F31CB7F6D}">
      <formula1>=IF(L90&lt;&gt;"",INDIRECT(VLOOKUP(L90,ThangLuongData,3,FALSE)),"")</formula1>
    </dataValidation>
    <dataValidation type="list" sqref="N90" xr:uid="{FE245F57-2ADF-41DE-8483-E0F4BBE70FF0}">
      <formula1>=IF(M90&lt;&gt;"",INDIRECT(VLOOKUP(M90,NgachLuongData,4,FALSE)),"")</formula1>
    </dataValidation>
    <dataValidation type="list" sqref="M91" xr:uid="{990FF675-9D25-42D9-950B-36A7EDBF0050}">
      <formula1>=IF(L91&lt;&gt;"",INDIRECT(VLOOKUP(L91,ThangLuongData,3,FALSE)),"")</formula1>
    </dataValidation>
    <dataValidation type="list" sqref="N91" xr:uid="{5F8F4559-4C55-4C91-91F9-CE8FBB8841F9}">
      <formula1>=IF(M91&lt;&gt;"",INDIRECT(VLOOKUP(M91,NgachLuongData,4,FALSE)),"")</formula1>
    </dataValidation>
    <dataValidation type="list" sqref="M92" xr:uid="{EBA35926-9948-456C-A9F2-38727054468D}">
      <formula1>=IF(L92&lt;&gt;"",INDIRECT(VLOOKUP(L92,ThangLuongData,3,FALSE)),"")</formula1>
    </dataValidation>
    <dataValidation type="list" sqref="N92" xr:uid="{09B4F16E-05BC-4EAA-B146-130BB7FF8631}">
      <formula1>=IF(M92&lt;&gt;"",INDIRECT(VLOOKUP(M92,NgachLuongData,4,FALSE)),"")</formula1>
    </dataValidation>
    <dataValidation type="list" sqref="M93" xr:uid="{0580F74B-EF42-4933-998F-C7B6AC70C75B}">
      <formula1>=IF(L93&lt;&gt;"",INDIRECT(VLOOKUP(L93,ThangLuongData,3,FALSE)),"")</formula1>
    </dataValidation>
    <dataValidation type="list" sqref="N93" xr:uid="{57306C3A-3985-42E9-8577-A2DF9A511660}">
      <formula1>=IF(M93&lt;&gt;"",INDIRECT(VLOOKUP(M93,NgachLuongData,4,FALSE)),"")</formula1>
    </dataValidation>
    <dataValidation type="list" sqref="M94" xr:uid="{43850FF3-5D16-4731-AED7-592772AF21AC}">
      <formula1>=IF(L94&lt;&gt;"",INDIRECT(VLOOKUP(L94,ThangLuongData,3,FALSE)),"")</formula1>
    </dataValidation>
    <dataValidation type="list" sqref="N94" xr:uid="{5C739F7F-D3E1-42A4-9B49-3E9B97DE78C4}">
      <formula1>=IF(M94&lt;&gt;"",INDIRECT(VLOOKUP(M94,NgachLuongData,4,FALSE)),"")</formula1>
    </dataValidation>
    <dataValidation type="list" sqref="M95" xr:uid="{E381237F-68BB-4B13-96BB-3E848C7A81E3}">
      <formula1>=IF(L95&lt;&gt;"",INDIRECT(VLOOKUP(L95,ThangLuongData,3,FALSE)),"")</formula1>
    </dataValidation>
    <dataValidation type="list" sqref="N95" xr:uid="{147FCDF8-2DE2-400D-9604-1B6AD96FBA95}">
      <formula1>=IF(M95&lt;&gt;"",INDIRECT(VLOOKUP(M95,NgachLuongData,4,FALSE)),"")</formula1>
    </dataValidation>
    <dataValidation type="list" sqref="M96" xr:uid="{0B52F383-4F12-4CEE-9B13-CEB266D50AA3}">
      <formula1>=IF(L96&lt;&gt;"",INDIRECT(VLOOKUP(L96,ThangLuongData,3,FALSE)),"")</formula1>
    </dataValidation>
    <dataValidation type="list" sqref="N96" xr:uid="{0EE9203F-01C4-4D0A-8596-06B9DBC9AF33}">
      <formula1>=IF(M96&lt;&gt;"",INDIRECT(VLOOKUP(M96,NgachLuongData,4,FALSE)),"")</formula1>
    </dataValidation>
    <dataValidation type="list" sqref="M97" xr:uid="{0352D03C-C2CE-4EF5-B340-9F36EAB35726}">
      <formula1>=IF(L97&lt;&gt;"",INDIRECT(VLOOKUP(L97,ThangLuongData,3,FALSE)),"")</formula1>
    </dataValidation>
    <dataValidation type="list" sqref="N97" xr:uid="{11B09E28-8A53-4E92-BEA5-AF0B2D6777F1}">
      <formula1>=IF(M97&lt;&gt;"",INDIRECT(VLOOKUP(M97,NgachLuongData,4,FALSE)),"")</formula1>
    </dataValidation>
    <dataValidation type="list" sqref="M98" xr:uid="{886D543B-C433-4292-A29C-9A41FE35F62C}">
      <formula1>=IF(L98&lt;&gt;"",INDIRECT(VLOOKUP(L98,ThangLuongData,3,FALSE)),"")</formula1>
    </dataValidation>
    <dataValidation type="list" sqref="N98" xr:uid="{5D5FAD2D-BB37-4882-AB72-C1F780E8A817}">
      <formula1>=IF(M98&lt;&gt;"",INDIRECT(VLOOKUP(M98,NgachLuongData,4,FALSE)),"")</formula1>
    </dataValidation>
    <dataValidation type="list" sqref="M99" xr:uid="{03567459-BAD9-4484-A0F5-57557B6F3431}">
      <formula1>=IF(L99&lt;&gt;"",INDIRECT(VLOOKUP(L99,ThangLuongData,3,FALSE)),"")</formula1>
    </dataValidation>
    <dataValidation type="list" sqref="N99" xr:uid="{7FDA11D7-B5C3-403E-9A51-634C07968B95}">
      <formula1>=IF(M99&lt;&gt;"",INDIRECT(VLOOKUP(M99,NgachLuongData,4,FALSE)),"")</formula1>
    </dataValidation>
    <dataValidation type="list" sqref="M100" xr:uid="{AF82A34B-7538-4ED9-8DE8-268AC0EC73F2}">
      <formula1>=IF(L100&lt;&gt;"",INDIRECT(VLOOKUP(L100,ThangLuongData,3,FALSE)),"")</formula1>
    </dataValidation>
    <dataValidation type="list" sqref="N100" xr:uid="{F07A62EC-A13E-4D01-81BD-35D87464D81E}">
      <formula1>=IF(M100&lt;&gt;"",INDIRECT(VLOOKUP(M100,NgachLuongData,4,FALSE)),"")</formula1>
    </dataValidation>
    <dataValidation type="list" sqref="M101" xr:uid="{BE5AC6FC-584D-49F8-90BC-B77B49B5E99F}">
      <formula1>=IF(L101&lt;&gt;"",INDIRECT(VLOOKUP(L101,ThangLuongData,3,FALSE)),"")</formula1>
    </dataValidation>
    <dataValidation type="list" sqref="N101" xr:uid="{019D71F3-31A1-49DA-B964-51F1506B0924}">
      <formula1>=IF(M101&lt;&gt;"",INDIRECT(VLOOKUP(M101,NgachLuongData,4,FALSE)),"")</formula1>
    </dataValidation>
    <dataValidation type="list" sqref="M102" xr:uid="{CAB9641D-115F-4109-A662-6C609DF57936}">
      <formula1>=IF(L102&lt;&gt;"",INDIRECT(VLOOKUP(L102,ThangLuongData,3,FALSE)),"")</formula1>
    </dataValidation>
    <dataValidation type="list" sqref="N102" xr:uid="{F629769E-0374-4121-80AD-F6213023F9E3}">
      <formula1>=IF(M102&lt;&gt;"",INDIRECT(VLOOKUP(M102,NgachLuongData,4,FALSE)),"")</formula1>
    </dataValidation>
    <dataValidation type="list" sqref="M103" xr:uid="{7FC22BED-7E1C-4B61-AB5F-58B65BDA93DA}">
      <formula1>=IF(L103&lt;&gt;"",INDIRECT(VLOOKUP(L103,ThangLuongData,3,FALSE)),"")</formula1>
    </dataValidation>
    <dataValidation type="list" sqref="N103" xr:uid="{C63D6D05-951D-4BE9-BFD2-D1801BFECD83}">
      <formula1>=IF(M103&lt;&gt;"",INDIRECT(VLOOKUP(M103,NgachLuongData,4,FALSE)),"")</formula1>
    </dataValidation>
    <dataValidation type="list" sqref="M104" xr:uid="{ECE2904D-21B1-4ABC-9D64-A3FFD3B7CF98}">
      <formula1>=IF(L104&lt;&gt;"",INDIRECT(VLOOKUP(L104,ThangLuongData,3,FALSE)),"")</formula1>
    </dataValidation>
    <dataValidation type="list" sqref="N104" xr:uid="{401C1744-BA99-4DE3-BE60-BCFB53543BE3}">
      <formula1>=IF(M104&lt;&gt;"",INDIRECT(VLOOKUP(M104,NgachLuongData,4,FALSE)),"")</formula1>
    </dataValidation>
    <dataValidation type="list" sqref="M105" xr:uid="{59B357EE-5A0A-429E-BDD5-02C01C05196C}">
      <formula1>=IF(L105&lt;&gt;"",INDIRECT(VLOOKUP(L105,ThangLuongData,3,FALSE)),"")</formula1>
    </dataValidation>
    <dataValidation type="list" sqref="N105" xr:uid="{133147D3-D5C3-4D20-8F00-103FDFD2C06D}">
      <formula1>=IF(M105&lt;&gt;"",INDIRECT(VLOOKUP(M105,NgachLuongData,4,FALSE)),"")</formula1>
    </dataValidation>
    <dataValidation type="list" sqref="M106" xr:uid="{9021F3B4-CEA3-4BBB-BF92-2B65180B30A8}">
      <formula1>=IF(L106&lt;&gt;"",INDIRECT(VLOOKUP(L106,ThangLuongData,3,FALSE)),"")</formula1>
    </dataValidation>
    <dataValidation type="list" sqref="N106" xr:uid="{0DDE968F-BB16-444B-9A61-90BA5A11EB47}">
      <formula1>=IF(M106&lt;&gt;"",INDIRECT(VLOOKUP(M106,NgachLuongData,4,FALSE)),"")</formula1>
    </dataValidation>
    <dataValidation type="list" sqref="M107" xr:uid="{11258D40-14A5-4E4B-B844-C62F9B6D5113}">
      <formula1>=IF(L107&lt;&gt;"",INDIRECT(VLOOKUP(L107,ThangLuongData,3,FALSE)),"")</formula1>
    </dataValidation>
    <dataValidation type="list" sqref="N107" xr:uid="{2FF847C0-13FC-4624-A8D3-2972D718713D}">
      <formula1>=IF(M107&lt;&gt;"",INDIRECT(VLOOKUP(M107,NgachLuongData,4,FALSE)),"")</formula1>
    </dataValidation>
    <dataValidation type="list" sqref="M108" xr:uid="{82518F65-86C5-4AE9-B026-EEB12FBFB8A5}">
      <formula1>=IF(L108&lt;&gt;"",INDIRECT(VLOOKUP(L108,ThangLuongData,3,FALSE)),"")</formula1>
    </dataValidation>
    <dataValidation type="list" sqref="N108" xr:uid="{E432B94D-869C-4AEC-B7E5-D8398D17FEB8}">
      <formula1>=IF(M108&lt;&gt;"",INDIRECT(VLOOKUP(M108,NgachLuongData,4,FALSE)),"")</formula1>
    </dataValidation>
    <dataValidation type="list" sqref="M109" xr:uid="{3EDF25A2-D5A0-4D05-8CB6-D85D48A31D20}">
      <formula1>=IF(L109&lt;&gt;"",INDIRECT(VLOOKUP(L109,ThangLuongData,3,FALSE)),"")</formula1>
    </dataValidation>
    <dataValidation type="list" sqref="N109" xr:uid="{EA293E48-0ED7-4E99-A891-E26D996E1745}">
      <formula1>=IF(M109&lt;&gt;"",INDIRECT(VLOOKUP(M109,NgachLuongData,4,FALSE)),"")</formula1>
    </dataValidation>
    <dataValidation type="list" sqref="M110" xr:uid="{ABBAE76E-884E-4BF8-961A-F9A70B0D69DF}">
      <formula1>=IF(L110&lt;&gt;"",INDIRECT(VLOOKUP(L110,ThangLuongData,3,FALSE)),"")</formula1>
    </dataValidation>
    <dataValidation type="list" sqref="N110" xr:uid="{59A289A5-7B28-4AF1-AA5D-436E515FF98C}">
      <formula1>=IF(M110&lt;&gt;"",INDIRECT(VLOOKUP(M110,NgachLuongData,4,FALSE)),"")</formula1>
    </dataValidation>
    <dataValidation type="list" sqref="M111" xr:uid="{F843D4A0-E1C0-430F-975B-742B9E2CFC21}">
      <formula1>=IF(L111&lt;&gt;"",INDIRECT(VLOOKUP(L111,ThangLuongData,3,FALSE)),"")</formula1>
    </dataValidation>
    <dataValidation type="list" sqref="N111" xr:uid="{1ED8FA3E-DD52-4EE9-9260-041E5CF0FD83}">
      <formula1>=IF(M111&lt;&gt;"",INDIRECT(VLOOKUP(M111,NgachLuongData,4,FALSE)),"")</formula1>
    </dataValidation>
    <dataValidation type="list" sqref="M112" xr:uid="{BF9CE27D-D98E-4462-8778-26E027CF1CFF}">
      <formula1>=IF(L112&lt;&gt;"",INDIRECT(VLOOKUP(L112,ThangLuongData,3,FALSE)),"")</formula1>
    </dataValidation>
    <dataValidation type="list" sqref="N112" xr:uid="{C2D2207D-28F5-46AC-ACDE-4A940D1988ED}">
      <formula1>=IF(M112&lt;&gt;"",INDIRECT(VLOOKUP(M112,NgachLuongData,4,FALSE)),"")</formula1>
    </dataValidation>
    <dataValidation type="list" sqref="M113" xr:uid="{9EB3CD51-CE1F-4D60-8928-6739D20F6929}">
      <formula1>=IF(L113&lt;&gt;"",INDIRECT(VLOOKUP(L113,ThangLuongData,3,FALSE)),"")</formula1>
    </dataValidation>
    <dataValidation type="list" sqref="N113" xr:uid="{2E82FD3B-7A6D-4856-AEE2-F44A3CB321BC}">
      <formula1>=IF(M113&lt;&gt;"",INDIRECT(VLOOKUP(M113,NgachLuongData,4,FALSE)),"")</formula1>
    </dataValidation>
    <dataValidation type="list" sqref="M114" xr:uid="{07B9CF62-488F-401F-B605-A5C5DEDF11C0}">
      <formula1>=IF(L114&lt;&gt;"",INDIRECT(VLOOKUP(L114,ThangLuongData,3,FALSE)),"")</formula1>
    </dataValidation>
    <dataValidation type="list" sqref="N114" xr:uid="{C2B96BC4-6B9B-4629-824D-9766EC82A230}">
      <formula1>=IF(M114&lt;&gt;"",INDIRECT(VLOOKUP(M114,NgachLuongData,4,FALSE)),"")</formula1>
    </dataValidation>
    <dataValidation type="list" sqref="M115" xr:uid="{31849C59-48CE-4E41-B7CC-A41C0F563A09}">
      <formula1>=IF(L115&lt;&gt;"",INDIRECT(VLOOKUP(L115,ThangLuongData,3,FALSE)),"")</formula1>
    </dataValidation>
    <dataValidation type="list" sqref="N115" xr:uid="{2B79B1CA-ED33-4B28-B8C9-BA5F934CC2F2}">
      <formula1>=IF(M115&lt;&gt;"",INDIRECT(VLOOKUP(M115,NgachLuongData,4,FALSE)),"")</formula1>
    </dataValidation>
    <dataValidation type="list" sqref="M116" xr:uid="{55B710BD-22E7-464E-ABDA-66CAE6CAB88D}">
      <formula1>=IF(L116&lt;&gt;"",INDIRECT(VLOOKUP(L116,ThangLuongData,3,FALSE)),"")</formula1>
    </dataValidation>
    <dataValidation type="list" sqref="N116" xr:uid="{C992C156-80E8-4078-9165-50A8566C284B}">
      <formula1>=IF(M116&lt;&gt;"",INDIRECT(VLOOKUP(M116,NgachLuongData,4,FALSE)),"")</formula1>
    </dataValidation>
    <dataValidation type="list" sqref="M117" xr:uid="{BB673198-55C3-4801-AF23-E2858D0368A1}">
      <formula1>=IF(L117&lt;&gt;"",INDIRECT(VLOOKUP(L117,ThangLuongData,3,FALSE)),"")</formula1>
    </dataValidation>
    <dataValidation type="list" sqref="N117" xr:uid="{0ED3EE87-C3BF-415A-A8ED-6FE20A91A158}">
      <formula1>=IF(M117&lt;&gt;"",INDIRECT(VLOOKUP(M117,NgachLuongData,4,FALSE)),"")</formula1>
    </dataValidation>
    <dataValidation type="list" sqref="M118" xr:uid="{33A79C97-6348-40F9-9404-D1CA06819408}">
      <formula1>=IF(L118&lt;&gt;"",INDIRECT(VLOOKUP(L118,ThangLuongData,3,FALSE)),"")</formula1>
    </dataValidation>
    <dataValidation type="list" sqref="N118" xr:uid="{17741A7E-1F71-42DF-845F-6A148EA130C0}">
      <formula1>=IF(M118&lt;&gt;"",INDIRECT(VLOOKUP(M118,NgachLuongData,4,FALSE)),"")</formula1>
    </dataValidation>
    <dataValidation type="list" sqref="M119" xr:uid="{45AEDC51-2725-4C3A-94AC-A974B5328BA1}">
      <formula1>=IF(L119&lt;&gt;"",INDIRECT(VLOOKUP(L119,ThangLuongData,3,FALSE)),"")</formula1>
    </dataValidation>
    <dataValidation type="list" sqref="N119" xr:uid="{6F38A3CB-787C-43C3-A89C-146AF1CE399D}">
      <formula1>=IF(M119&lt;&gt;"",INDIRECT(VLOOKUP(M119,NgachLuongData,4,FALSE)),"")</formula1>
    </dataValidation>
    <dataValidation type="list" sqref="M120" xr:uid="{FF2F7EC7-E804-4DB1-A8A8-465C1AE536E1}">
      <formula1>=IF(L120&lt;&gt;"",INDIRECT(VLOOKUP(L120,ThangLuongData,3,FALSE)),"")</formula1>
    </dataValidation>
    <dataValidation type="list" sqref="N120" xr:uid="{DD00410D-D177-423B-9CA9-50295D81A032}">
      <formula1>=IF(M120&lt;&gt;"",INDIRECT(VLOOKUP(M120,NgachLuongData,4,FALSE)),"")</formula1>
    </dataValidation>
    <dataValidation type="list" sqref="M121" xr:uid="{84F235CD-F82D-4F3C-B9E0-39451C997782}">
      <formula1>=IF(L121&lt;&gt;"",INDIRECT(VLOOKUP(L121,ThangLuongData,3,FALSE)),"")</formula1>
    </dataValidation>
    <dataValidation type="list" sqref="N121" xr:uid="{78CC3D37-9EC1-42D1-B78B-2BCD07666557}">
      <formula1>=IF(M121&lt;&gt;"",INDIRECT(VLOOKUP(M121,NgachLuongData,4,FALSE)),"")</formula1>
    </dataValidation>
    <dataValidation type="list" sqref="M122" xr:uid="{6F1FFA47-735C-4F5F-9F5A-06465CA217FB}">
      <formula1>=IF(L122&lt;&gt;"",INDIRECT(VLOOKUP(L122,ThangLuongData,3,FALSE)),"")</formula1>
    </dataValidation>
    <dataValidation type="list" sqref="N122" xr:uid="{CAD73FA8-B287-41C9-9826-6ED5C9DD9F2D}">
      <formula1>=IF(M122&lt;&gt;"",INDIRECT(VLOOKUP(M122,NgachLuongData,4,FALSE)),"")</formula1>
    </dataValidation>
    <dataValidation type="list" sqref="M123" xr:uid="{F816DDA1-1285-44EF-8E55-0B7B7837985B}">
      <formula1>=IF(L123&lt;&gt;"",INDIRECT(VLOOKUP(L123,ThangLuongData,3,FALSE)),"")</formula1>
    </dataValidation>
    <dataValidation type="list" sqref="N123" xr:uid="{81E86CF5-F3F8-4D68-AE5C-4B9381A7D69F}">
      <formula1>=IF(M123&lt;&gt;"",INDIRECT(VLOOKUP(M123,NgachLuongData,4,FALSE)),"")</formula1>
    </dataValidation>
    <dataValidation type="list" sqref="M124" xr:uid="{31D61917-3DBD-43A2-8A67-63D39F89EFEB}">
      <formula1>=IF(L124&lt;&gt;"",INDIRECT(VLOOKUP(L124,ThangLuongData,3,FALSE)),"")</formula1>
    </dataValidation>
    <dataValidation type="list" sqref="N124" xr:uid="{7E2A9257-D6EC-4B20-B32E-8B4F088326D9}">
      <formula1>=IF(M124&lt;&gt;"",INDIRECT(VLOOKUP(M124,NgachLuongData,4,FALSE)),"")</formula1>
    </dataValidation>
    <dataValidation type="list" sqref="M125" xr:uid="{76ECFAE4-D2DC-45A0-8B0D-1D1FFE3CBB44}">
      <formula1>=IF(L125&lt;&gt;"",INDIRECT(VLOOKUP(L125,ThangLuongData,3,FALSE)),"")</formula1>
    </dataValidation>
    <dataValidation type="list" sqref="N125" xr:uid="{01FC187E-78C5-4B1C-875B-327B2DD2EF35}">
      <formula1>=IF(M125&lt;&gt;"",INDIRECT(VLOOKUP(M125,NgachLuongData,4,FALSE)),"")</formula1>
    </dataValidation>
    <dataValidation type="list" sqref="M126" xr:uid="{AF8BDFBD-8BCD-4C9C-800A-1BAE412EDFFE}">
      <formula1>=IF(L126&lt;&gt;"",INDIRECT(VLOOKUP(L126,ThangLuongData,3,FALSE)),"")</formula1>
    </dataValidation>
    <dataValidation type="list" sqref="N126" xr:uid="{6B925E02-A515-41C3-B6C0-18FF01403653}">
      <formula1>=IF(M126&lt;&gt;"",INDIRECT(VLOOKUP(M126,NgachLuongData,4,FALSE)),"")</formula1>
    </dataValidation>
    <dataValidation type="list" sqref="M127" xr:uid="{A9C78712-86E6-424B-983E-0362DD15EAFD}">
      <formula1>=IF(L127&lt;&gt;"",INDIRECT(VLOOKUP(L127,ThangLuongData,3,FALSE)),"")</formula1>
    </dataValidation>
    <dataValidation type="list" sqref="N127" xr:uid="{F124876C-C1EC-4AD2-8920-E75C9684FEE5}">
      <formula1>=IF(M127&lt;&gt;"",INDIRECT(VLOOKUP(M127,NgachLuongData,4,FALSE)),"")</formula1>
    </dataValidation>
    <dataValidation type="list" sqref="M128" xr:uid="{5228B4EC-1F02-4E65-9AF7-9D911AF2890F}">
      <formula1>=IF(L128&lt;&gt;"",INDIRECT(VLOOKUP(L128,ThangLuongData,3,FALSE)),"")</formula1>
    </dataValidation>
    <dataValidation type="list" sqref="N128" xr:uid="{B5AECE86-0FFE-4FDB-8FB0-088B63A408C4}">
      <formula1>=IF(M128&lt;&gt;"",INDIRECT(VLOOKUP(M128,NgachLuongData,4,FALSE)),"")</formula1>
    </dataValidation>
    <dataValidation type="list" sqref="M129" xr:uid="{C5BAD787-1835-408F-94CF-40F8418CC224}">
      <formula1>=IF(L129&lt;&gt;"",INDIRECT(VLOOKUP(L129,ThangLuongData,3,FALSE)),"")</formula1>
    </dataValidation>
    <dataValidation type="list" sqref="N129" xr:uid="{8CDDFB31-1DC7-45DC-83BF-836F333C8BA2}">
      <formula1>=IF(M129&lt;&gt;"",INDIRECT(VLOOKUP(M129,NgachLuongData,4,FALSE)),"")</formula1>
    </dataValidation>
    <dataValidation type="list" sqref="M130" xr:uid="{21B11C05-166C-43C8-8505-35A5A11649BA}">
      <formula1>=IF(L130&lt;&gt;"",INDIRECT(VLOOKUP(L130,ThangLuongData,3,FALSE)),"")</formula1>
    </dataValidation>
    <dataValidation type="list" sqref="N130" xr:uid="{81AA054F-71C4-48B1-A9DE-56E13B7BD9DC}">
      <formula1>=IF(M130&lt;&gt;"",INDIRECT(VLOOKUP(M130,NgachLuongData,4,FALSE)),"")</formula1>
    </dataValidation>
    <dataValidation type="list" sqref="M131" xr:uid="{CBA12ADD-FDD3-4EC6-9179-5D2BA5A3E954}">
      <formula1>=IF(L131&lt;&gt;"",INDIRECT(VLOOKUP(L131,ThangLuongData,3,FALSE)),"")</formula1>
    </dataValidation>
    <dataValidation type="list" sqref="N131" xr:uid="{5A21736A-8B2E-4155-AC05-EEED87C1AFD8}">
      <formula1>=IF(M131&lt;&gt;"",INDIRECT(VLOOKUP(M131,NgachLuongData,4,FALSE)),"")</formula1>
    </dataValidation>
    <dataValidation type="list" sqref="M132" xr:uid="{AA2B9794-8D61-4D41-A993-1BA759894063}">
      <formula1>=IF(L132&lt;&gt;"",INDIRECT(VLOOKUP(L132,ThangLuongData,3,FALSE)),"")</formula1>
    </dataValidation>
    <dataValidation type="list" sqref="N132" xr:uid="{10CCD20F-B5A3-470D-8312-053C6116DD64}">
      <formula1>=IF(M132&lt;&gt;"",INDIRECT(VLOOKUP(M132,NgachLuongData,4,FALSE)),"")</formula1>
    </dataValidation>
    <dataValidation type="list" sqref="M133" xr:uid="{8B548BE7-FC88-4E09-A283-FD48281F0600}">
      <formula1>=IF(L133&lt;&gt;"",INDIRECT(VLOOKUP(L133,ThangLuongData,3,FALSE)),"")</formula1>
    </dataValidation>
    <dataValidation type="list" sqref="N133" xr:uid="{BE9011EB-E382-4146-A5ED-DD0FC78D68FC}">
      <formula1>=IF(M133&lt;&gt;"",INDIRECT(VLOOKUP(M133,NgachLuongData,4,FALSE)),"")</formula1>
    </dataValidation>
    <dataValidation type="list" sqref="M134" xr:uid="{D6413342-8A8E-4B0D-89C5-FD777678B0CD}">
      <formula1>=IF(L134&lt;&gt;"",INDIRECT(VLOOKUP(L134,ThangLuongData,3,FALSE)),"")</formula1>
    </dataValidation>
    <dataValidation type="list" sqref="N134" xr:uid="{296C6019-BE61-4AE9-A4AF-11823CFDD2EE}">
      <formula1>=IF(M134&lt;&gt;"",INDIRECT(VLOOKUP(M134,NgachLuongData,4,FALSE)),"")</formula1>
    </dataValidation>
    <dataValidation type="list" sqref="M135" xr:uid="{17D8C37A-78FD-4E54-BA9E-25B0B5DD5612}">
      <formula1>=IF(L135&lt;&gt;"",INDIRECT(VLOOKUP(L135,ThangLuongData,3,FALSE)),"")</formula1>
    </dataValidation>
    <dataValidation type="list" sqref="N135" xr:uid="{F9D882CF-1634-49B2-B030-3590AE015F77}">
      <formula1>=IF(M135&lt;&gt;"",INDIRECT(VLOOKUP(M135,NgachLuongData,4,FALSE)),"")</formula1>
    </dataValidation>
    <dataValidation type="list" sqref="M136" xr:uid="{3ECF6F64-33BE-4BA1-B215-1CD7E4FECAE0}">
      <formula1>=IF(L136&lt;&gt;"",INDIRECT(VLOOKUP(L136,ThangLuongData,3,FALSE)),"")</formula1>
    </dataValidation>
    <dataValidation type="list" sqref="N136" xr:uid="{81D7D2B5-EE01-43F8-AEDD-8386001D3696}">
      <formula1>=IF(M136&lt;&gt;"",INDIRECT(VLOOKUP(M136,NgachLuongData,4,FALSE)),"")</formula1>
    </dataValidation>
    <dataValidation type="list" sqref="M137" xr:uid="{B7888269-D182-468B-9AD1-D85EA9DB7FFA}">
      <formula1>=IF(L137&lt;&gt;"",INDIRECT(VLOOKUP(L137,ThangLuongData,3,FALSE)),"")</formula1>
    </dataValidation>
    <dataValidation type="list" sqref="N137" xr:uid="{0746ED4B-6D1A-42F1-9BC1-B0ADD2717779}">
      <formula1>=IF(M137&lt;&gt;"",INDIRECT(VLOOKUP(M137,NgachLuongData,4,FALSE)),"")</formula1>
    </dataValidation>
    <dataValidation type="list" sqref="M138" xr:uid="{5CA59839-F0F7-4931-8FA5-B49FBF5A9906}">
      <formula1>=IF(L138&lt;&gt;"",INDIRECT(VLOOKUP(L138,ThangLuongData,3,FALSE)),"")</formula1>
    </dataValidation>
    <dataValidation type="list" sqref="N138" xr:uid="{FCE30A2F-33D9-43C3-B361-2879EE9AA5A6}">
      <formula1>=IF(M138&lt;&gt;"",INDIRECT(VLOOKUP(M138,NgachLuongData,4,FALSE)),"")</formula1>
    </dataValidation>
    <dataValidation type="list" sqref="M139" xr:uid="{DAB6529E-213E-4834-87A8-F4ECD3AED26D}">
      <formula1>=IF(L139&lt;&gt;"",INDIRECT(VLOOKUP(L139,ThangLuongData,3,FALSE)),"")</formula1>
    </dataValidation>
    <dataValidation type="list" sqref="N139" xr:uid="{7A165C50-B7D5-472A-B7EF-1D650E7FC09B}">
      <formula1>=IF(M139&lt;&gt;"",INDIRECT(VLOOKUP(M139,NgachLuongData,4,FALSE)),"")</formula1>
    </dataValidation>
    <dataValidation type="list" sqref="M140" xr:uid="{3870ACB7-19BE-447D-8C81-3B80648FB491}">
      <formula1>=IF(L140&lt;&gt;"",INDIRECT(VLOOKUP(L140,ThangLuongData,3,FALSE)),"")</formula1>
    </dataValidation>
    <dataValidation type="list" sqref="N140" xr:uid="{E2C4F9D3-B68F-4228-AF23-55FBAC37AD7C}">
      <formula1>=IF(M140&lt;&gt;"",INDIRECT(VLOOKUP(M140,NgachLuongData,4,FALSE)),"")</formula1>
    </dataValidation>
    <dataValidation type="list" sqref="M141" xr:uid="{D775DE38-D50F-4893-A75B-9677340070E7}">
      <formula1>=IF(L141&lt;&gt;"",INDIRECT(VLOOKUP(L141,ThangLuongData,3,FALSE)),"")</formula1>
    </dataValidation>
    <dataValidation type="list" sqref="N141" xr:uid="{A86B90E0-CCC6-4EDE-BCBC-78292A669FC3}">
      <formula1>=IF(M141&lt;&gt;"",INDIRECT(VLOOKUP(M141,NgachLuongData,4,FALSE)),"")</formula1>
    </dataValidation>
    <dataValidation type="list" sqref="M142" xr:uid="{90768B47-DFD5-43E2-AEA6-646F47FCDCB1}">
      <formula1>=IF(L142&lt;&gt;"",INDIRECT(VLOOKUP(L142,ThangLuongData,3,FALSE)),"")</formula1>
    </dataValidation>
    <dataValidation type="list" sqref="N142" xr:uid="{82547203-8DD7-48BD-BD49-47D3728E27B3}">
      <formula1>=IF(M142&lt;&gt;"",INDIRECT(VLOOKUP(M142,NgachLuongData,4,FALSE)),"")</formula1>
    </dataValidation>
    <dataValidation type="list" sqref="M143" xr:uid="{36EAC2E2-8862-44EE-99F4-D9B7E2D5231B}">
      <formula1>=IF(L143&lt;&gt;"",INDIRECT(VLOOKUP(L143,ThangLuongData,3,FALSE)),"")</formula1>
    </dataValidation>
    <dataValidation type="list" sqref="N143" xr:uid="{6C3AE50E-3E5A-4423-A91F-B85BA46C4876}">
      <formula1>=IF(M143&lt;&gt;"",INDIRECT(VLOOKUP(M143,NgachLuongData,4,FALSE)),"")</formula1>
    </dataValidation>
    <dataValidation type="list" sqref="M144" xr:uid="{4663DC8D-C3D3-418C-9CE8-F9088DE9BA85}">
      <formula1>=IF(L144&lt;&gt;"",INDIRECT(VLOOKUP(L144,ThangLuongData,3,FALSE)),"")</formula1>
    </dataValidation>
    <dataValidation type="list" sqref="N144" xr:uid="{75F92666-1267-4672-BBEA-EDE5D7061FD5}">
      <formula1>=IF(M144&lt;&gt;"",INDIRECT(VLOOKUP(M144,NgachLuongData,4,FALSE)),"")</formula1>
    </dataValidation>
    <dataValidation type="list" sqref="M145" xr:uid="{FB57E1CD-AFA2-497A-A305-C119352EAA86}">
      <formula1>=IF(L145&lt;&gt;"",INDIRECT(VLOOKUP(L145,ThangLuongData,3,FALSE)),"")</formula1>
    </dataValidation>
    <dataValidation type="list" sqref="N145" xr:uid="{F7DC8A8D-392E-4A9A-B241-76E6CB9D6239}">
      <formula1>=IF(M145&lt;&gt;"",INDIRECT(VLOOKUP(M145,NgachLuongData,4,FALSE)),"")</formula1>
    </dataValidation>
    <dataValidation type="list" sqref="M146" xr:uid="{EF64743D-92AB-43E6-B45C-80059E202A34}">
      <formula1>=IF(L146&lt;&gt;"",INDIRECT(VLOOKUP(L146,ThangLuongData,3,FALSE)),"")</formula1>
    </dataValidation>
    <dataValidation type="list" sqref="N146" xr:uid="{ACE13B61-5715-42C4-81C5-EAC2E057516A}">
      <formula1>=IF(M146&lt;&gt;"",INDIRECT(VLOOKUP(M146,NgachLuongData,4,FALSE)),"")</formula1>
    </dataValidation>
    <dataValidation type="list" sqref="M147" xr:uid="{A1602BDC-0463-45DE-A8B7-87E7012C9517}">
      <formula1>=IF(L147&lt;&gt;"",INDIRECT(VLOOKUP(L147,ThangLuongData,3,FALSE)),"")</formula1>
    </dataValidation>
    <dataValidation type="list" sqref="N147" xr:uid="{1FC0BCE6-24DB-4327-A23B-F915A4D64669}">
      <formula1>=IF(M147&lt;&gt;"",INDIRECT(VLOOKUP(M147,NgachLuongData,4,FALSE)),"")</formula1>
    </dataValidation>
    <dataValidation type="list" sqref="M148" xr:uid="{22BF1492-9B86-4FD0-A5B4-EF6CD316F2A3}">
      <formula1>=IF(L148&lt;&gt;"",INDIRECT(VLOOKUP(L148,ThangLuongData,3,FALSE)),"")</formula1>
    </dataValidation>
    <dataValidation type="list" sqref="N148" xr:uid="{1585594E-1706-4F25-B2C3-3C77C7961425}">
      <formula1>=IF(M148&lt;&gt;"",INDIRECT(VLOOKUP(M148,NgachLuongData,4,FALSE)),"")</formula1>
    </dataValidation>
    <dataValidation type="list" sqref="M149" xr:uid="{B5AE0AE7-7819-45C0-9A13-2E577BFF2E9E}">
      <formula1>=IF(L149&lt;&gt;"",INDIRECT(VLOOKUP(L149,ThangLuongData,3,FALSE)),"")</formula1>
    </dataValidation>
    <dataValidation type="list" sqref="N149" xr:uid="{3EC2E6BB-2408-43D9-A3F8-ECFD1E99742C}">
      <formula1>=IF(M149&lt;&gt;"",INDIRECT(VLOOKUP(M149,NgachLuongData,4,FALSE)),"")</formula1>
    </dataValidation>
    <dataValidation type="list" sqref="M150" xr:uid="{CE4E471A-0EBD-45A0-93B8-4D518F08D14F}">
      <formula1>=IF(L150&lt;&gt;"",INDIRECT(VLOOKUP(L150,ThangLuongData,3,FALSE)),"")</formula1>
    </dataValidation>
    <dataValidation type="list" sqref="N150" xr:uid="{35B3846C-E694-4102-93E8-E61B26415B37}">
      <formula1>=IF(M150&lt;&gt;"",INDIRECT(VLOOKUP(M150,NgachLuongData,4,FALSE)),"")</formula1>
    </dataValidation>
    <dataValidation type="list" sqref="M151" xr:uid="{5F747B76-2641-4858-8664-505251A156F0}">
      <formula1>=IF(L151&lt;&gt;"",INDIRECT(VLOOKUP(L151,ThangLuongData,3,FALSE)),"")</formula1>
    </dataValidation>
    <dataValidation type="list" sqref="N151" xr:uid="{FAF21A4A-DCA0-45BE-BB8D-C940893E1328}">
      <formula1>=IF(M151&lt;&gt;"",INDIRECT(VLOOKUP(M151,NgachLuongData,4,FALSE)),"")</formula1>
    </dataValidation>
    <dataValidation type="list" sqref="M152" xr:uid="{7286D150-6B30-4D88-84F9-A7656C1375B6}">
      <formula1>=IF(L152&lt;&gt;"",INDIRECT(VLOOKUP(L152,ThangLuongData,3,FALSE)),"")</formula1>
    </dataValidation>
    <dataValidation type="list" sqref="N152" xr:uid="{86FC049A-622A-4BED-86C2-EA4770FF8F01}">
      <formula1>=IF(M152&lt;&gt;"",INDIRECT(VLOOKUP(M152,NgachLuongData,4,FALSE)),"")</formula1>
    </dataValidation>
    <dataValidation type="list" sqref="M153" xr:uid="{3D382CFF-95C5-4448-AF19-F016F56FAF95}">
      <formula1>=IF(L153&lt;&gt;"",INDIRECT(VLOOKUP(L153,ThangLuongData,3,FALSE)),"")</formula1>
    </dataValidation>
    <dataValidation type="list" sqref="N153" xr:uid="{81006F51-DB17-49EC-95A9-E61E5D3E1A16}">
      <formula1>=IF(M153&lt;&gt;"",INDIRECT(VLOOKUP(M153,NgachLuongData,4,FALSE)),"")</formula1>
    </dataValidation>
    <dataValidation type="list" sqref="M154" xr:uid="{C60B2A03-BA95-48F1-8871-8412010497DC}">
      <formula1>=IF(L154&lt;&gt;"",INDIRECT(VLOOKUP(L154,ThangLuongData,3,FALSE)),"")</formula1>
    </dataValidation>
    <dataValidation type="list" sqref="N154" xr:uid="{02B6E67E-E12C-468C-9B21-965229E4264C}">
      <formula1>=IF(M154&lt;&gt;"",INDIRECT(VLOOKUP(M154,NgachLuongData,4,FALSE)),"")</formula1>
    </dataValidation>
    <dataValidation type="list" sqref="M155" xr:uid="{A3D1803D-C4EC-447A-AF7E-EA1A698E1CD8}">
      <formula1>=IF(L155&lt;&gt;"",INDIRECT(VLOOKUP(L155,ThangLuongData,3,FALSE)),"")</formula1>
    </dataValidation>
    <dataValidation type="list" sqref="N155" xr:uid="{484DEC4D-6C45-4588-AB01-50EEBD826597}">
      <formula1>=IF(M155&lt;&gt;"",INDIRECT(VLOOKUP(M155,NgachLuongData,4,FALSE)),"")</formula1>
    </dataValidation>
    <dataValidation type="list" sqref="M156" xr:uid="{1B4D0A25-E295-4C05-A761-78A306E15BFB}">
      <formula1>=IF(L156&lt;&gt;"",INDIRECT(VLOOKUP(L156,ThangLuongData,3,FALSE)),"")</formula1>
    </dataValidation>
    <dataValidation type="list" sqref="N156" xr:uid="{0EFF0A5D-BD11-45B6-B0A1-579969CFC054}">
      <formula1>=IF(M156&lt;&gt;"",INDIRECT(VLOOKUP(M156,NgachLuongData,4,FALSE)),"")</formula1>
    </dataValidation>
    <dataValidation type="list" sqref="M157" xr:uid="{0ECE603E-5FB1-4642-AE66-5D6C589BB300}">
      <formula1>=IF(L157&lt;&gt;"",INDIRECT(VLOOKUP(L157,ThangLuongData,3,FALSE)),"")</formula1>
    </dataValidation>
    <dataValidation type="list" sqref="N157" xr:uid="{A89C9413-C38E-45F9-B265-480F4B28BEF5}">
      <formula1>=IF(M157&lt;&gt;"",INDIRECT(VLOOKUP(M157,NgachLuongData,4,FALSE)),"")</formula1>
    </dataValidation>
    <dataValidation type="list" sqref="M158" xr:uid="{B6AEE0CA-6841-4132-AFFD-E74D52A7CF43}">
      <formula1>=IF(L158&lt;&gt;"",INDIRECT(VLOOKUP(L158,ThangLuongData,3,FALSE)),"")</formula1>
    </dataValidation>
    <dataValidation type="list" sqref="N158" xr:uid="{412B6B83-86AE-4F95-B8EF-0C7AA1DD68EB}">
      <formula1>=IF(M158&lt;&gt;"",INDIRECT(VLOOKUP(M158,NgachLuongData,4,FALSE)),"")</formula1>
    </dataValidation>
    <dataValidation type="list" sqref="M159" xr:uid="{56B69FC5-B66E-48DF-97A1-E7339412FA64}">
      <formula1>=IF(L159&lt;&gt;"",INDIRECT(VLOOKUP(L159,ThangLuongData,3,FALSE)),"")</formula1>
    </dataValidation>
    <dataValidation type="list" sqref="N159" xr:uid="{4BD0E27E-0957-4C77-9B67-F47A1FC31F56}">
      <formula1>=IF(M159&lt;&gt;"",INDIRECT(VLOOKUP(M159,NgachLuongData,4,FALSE)),"")</formula1>
    </dataValidation>
    <dataValidation type="list" sqref="M160" xr:uid="{9FDB1371-3EE5-42A2-A15A-5AAA85CCA598}">
      <formula1>=IF(L160&lt;&gt;"",INDIRECT(VLOOKUP(L160,ThangLuongData,3,FALSE)),"")</formula1>
    </dataValidation>
    <dataValidation type="list" sqref="N160" xr:uid="{5CBEA94D-70C9-40F6-B388-F9980EE4F264}">
      <formula1>=IF(M160&lt;&gt;"",INDIRECT(VLOOKUP(M160,NgachLuongData,4,FALSE)),"")</formula1>
    </dataValidation>
    <dataValidation type="list" sqref="M161" xr:uid="{86A2F87B-C391-4729-936E-C4CCF36712E5}">
      <formula1>=IF(L161&lt;&gt;"",INDIRECT(VLOOKUP(L161,ThangLuongData,3,FALSE)),"")</formula1>
    </dataValidation>
    <dataValidation type="list" sqref="N161" xr:uid="{0F282069-7EAF-4F1A-B5E4-BE9AE2B30AA5}">
      <formula1>=IF(M161&lt;&gt;"",INDIRECT(VLOOKUP(M161,NgachLuongData,4,FALSE)),"")</formula1>
    </dataValidation>
    <dataValidation type="list" sqref="M162" xr:uid="{4ED148BD-D9F6-4B66-9D6D-FD4F8B124AFB}">
      <formula1>=IF(L162&lt;&gt;"",INDIRECT(VLOOKUP(L162,ThangLuongData,3,FALSE)),"")</formula1>
    </dataValidation>
    <dataValidation type="list" sqref="N162" xr:uid="{8988C05E-B6E8-41A1-9317-48A2FA325F28}">
      <formula1>=IF(M162&lt;&gt;"",INDIRECT(VLOOKUP(M162,NgachLuongData,4,FALSE)),"")</formula1>
    </dataValidation>
    <dataValidation type="list" sqref="M163" xr:uid="{AC0CECC8-94AC-4BA7-9AFE-A1360CB0C626}">
      <formula1>=IF(L163&lt;&gt;"",INDIRECT(VLOOKUP(L163,ThangLuongData,3,FALSE)),"")</formula1>
    </dataValidation>
    <dataValidation type="list" sqref="N163" xr:uid="{E4DFC810-B227-43A6-892C-0E52A2E43C03}">
      <formula1>=IF(M163&lt;&gt;"",INDIRECT(VLOOKUP(M163,NgachLuongData,4,FALSE)),"")</formula1>
    </dataValidation>
    <dataValidation type="list" sqref="M164" xr:uid="{3E020AA5-A03E-4A93-8043-2C0353AA9554}">
      <formula1>=IF(L164&lt;&gt;"",INDIRECT(VLOOKUP(L164,ThangLuongData,3,FALSE)),"")</formula1>
    </dataValidation>
    <dataValidation type="list" sqref="N164" xr:uid="{14133CB8-C24B-478D-B904-51093F9A5751}">
      <formula1>=IF(M164&lt;&gt;"",INDIRECT(VLOOKUP(M164,NgachLuongData,4,FALSE)),"")</formula1>
    </dataValidation>
    <dataValidation type="list" sqref="M165" xr:uid="{6B5D5A2C-ECDC-4F6E-9CC2-52EAA8AB230B}">
      <formula1>=IF(L165&lt;&gt;"",INDIRECT(VLOOKUP(L165,ThangLuongData,3,FALSE)),"")</formula1>
    </dataValidation>
    <dataValidation type="list" sqref="N165" xr:uid="{02F3B41B-DF1E-4F36-A0B7-D792185A9494}">
      <formula1>=IF(M165&lt;&gt;"",INDIRECT(VLOOKUP(M165,NgachLuongData,4,FALSE)),"")</formula1>
    </dataValidation>
    <dataValidation type="list" sqref="M166" xr:uid="{5C9EFBCF-79F7-42DF-AC46-CE4B89D31070}">
      <formula1>=IF(L166&lt;&gt;"",INDIRECT(VLOOKUP(L166,ThangLuongData,3,FALSE)),"")</formula1>
    </dataValidation>
    <dataValidation type="list" sqref="N166" xr:uid="{57A27386-0F6E-4843-9C21-8E1559E89BCF}">
      <formula1>=IF(M166&lt;&gt;"",INDIRECT(VLOOKUP(M166,NgachLuongData,4,FALSE)),"")</formula1>
    </dataValidation>
    <dataValidation type="list" sqref="M167" xr:uid="{6C7C8759-E4D2-4B0D-860B-DA776DC6E73F}">
      <formula1>=IF(L167&lt;&gt;"",INDIRECT(VLOOKUP(L167,ThangLuongData,3,FALSE)),"")</formula1>
    </dataValidation>
    <dataValidation type="list" sqref="N167" xr:uid="{7018E153-0984-4C79-82DF-8046AE4F6B65}">
      <formula1>=IF(M167&lt;&gt;"",INDIRECT(VLOOKUP(M167,NgachLuongData,4,FALSE)),"")</formula1>
    </dataValidation>
    <dataValidation type="list" sqref="M168" xr:uid="{110B916D-6F59-4A72-B44B-E6FA9F32E785}">
      <formula1>=IF(L168&lt;&gt;"",INDIRECT(VLOOKUP(L168,ThangLuongData,3,FALSE)),"")</formula1>
    </dataValidation>
    <dataValidation type="list" sqref="N168" xr:uid="{6721963B-4BD0-47F1-A63C-703690CBC424}">
      <formula1>=IF(M168&lt;&gt;"",INDIRECT(VLOOKUP(M168,NgachLuongData,4,FALSE)),"")</formula1>
    </dataValidation>
    <dataValidation type="list" sqref="M169" xr:uid="{4DAA2E69-3C1F-4E4A-ADC2-F886B3D35831}">
      <formula1>=IF(L169&lt;&gt;"",INDIRECT(VLOOKUP(L169,ThangLuongData,3,FALSE)),"")</formula1>
    </dataValidation>
    <dataValidation type="list" sqref="N169" xr:uid="{1CD48354-F4D3-4651-8482-F62F3766CEEB}">
      <formula1>=IF(M169&lt;&gt;"",INDIRECT(VLOOKUP(M169,NgachLuongData,4,FALSE)),"")</formula1>
    </dataValidation>
    <dataValidation type="list" sqref="M170" xr:uid="{23EE4E3A-E54C-4379-81DE-7035A5E1FDC4}">
      <formula1>=IF(L170&lt;&gt;"",INDIRECT(VLOOKUP(L170,ThangLuongData,3,FALSE)),"")</formula1>
    </dataValidation>
    <dataValidation type="list" sqref="N170" xr:uid="{6C005F4F-A5F1-4CAC-84A3-2714C5DD08CC}">
      <formula1>=IF(M170&lt;&gt;"",INDIRECT(VLOOKUP(M170,NgachLuongData,4,FALSE)),"")</formula1>
    </dataValidation>
    <dataValidation type="list" sqref="M171" xr:uid="{0AB555C7-9073-4030-A80F-C8C731A0C74A}">
      <formula1>=IF(L171&lt;&gt;"",INDIRECT(VLOOKUP(L171,ThangLuongData,3,FALSE)),"")</formula1>
    </dataValidation>
    <dataValidation type="list" sqref="N171" xr:uid="{EBDBEF10-20D8-4EB5-B473-C0E267AAE0CA}">
      <formula1>=IF(M171&lt;&gt;"",INDIRECT(VLOOKUP(M171,NgachLuongData,4,FALSE)),"")</formula1>
    </dataValidation>
    <dataValidation type="list" sqref="M172" xr:uid="{39563D0B-C583-4E2D-84E5-8347DDE755E4}">
      <formula1>=IF(L172&lt;&gt;"",INDIRECT(VLOOKUP(L172,ThangLuongData,3,FALSE)),"")</formula1>
    </dataValidation>
    <dataValidation type="list" sqref="N172" xr:uid="{69DA2F34-AC10-4E61-B3B1-3BBB5366A78C}">
      <formula1>=IF(M172&lt;&gt;"",INDIRECT(VLOOKUP(M172,NgachLuongData,4,FALSE)),"")</formula1>
    </dataValidation>
    <dataValidation type="list" sqref="M173" xr:uid="{DF4797DA-C7F0-4451-9E86-58F48FE0DEC2}">
      <formula1>=IF(L173&lt;&gt;"",INDIRECT(VLOOKUP(L173,ThangLuongData,3,FALSE)),"")</formula1>
    </dataValidation>
    <dataValidation type="list" sqref="N173" xr:uid="{492476D8-33E3-4017-9E26-6C2FB46D7156}">
      <formula1>=IF(M173&lt;&gt;"",INDIRECT(VLOOKUP(M173,NgachLuongData,4,FALSE)),"")</formula1>
    </dataValidation>
    <dataValidation type="list" sqref="M174" xr:uid="{640C5B4C-044F-455D-A0F5-26FE0D6C283A}">
      <formula1>=IF(L174&lt;&gt;"",INDIRECT(VLOOKUP(L174,ThangLuongData,3,FALSE)),"")</formula1>
    </dataValidation>
    <dataValidation type="list" sqref="N174" xr:uid="{937D2FDB-2E34-4902-AB54-7953FB1F2BE1}">
      <formula1>=IF(M174&lt;&gt;"",INDIRECT(VLOOKUP(M174,NgachLuongData,4,FALSE)),"")</formula1>
    </dataValidation>
    <dataValidation type="list" sqref="M175" xr:uid="{61531395-93C6-49A0-92E5-44FDCF999EEC}">
      <formula1>=IF(L175&lt;&gt;"",INDIRECT(VLOOKUP(L175,ThangLuongData,3,FALSE)),"")</formula1>
    </dataValidation>
    <dataValidation type="list" sqref="N175" xr:uid="{C5BA5618-EA9B-4C3B-9B9A-187410236DE6}">
      <formula1>=IF(M175&lt;&gt;"",INDIRECT(VLOOKUP(M175,NgachLuongData,4,FALSE)),"")</formula1>
    </dataValidation>
    <dataValidation type="list" sqref="M176" xr:uid="{D3E4C667-3985-47B8-9D8A-4C03E6F35355}">
      <formula1>=IF(L176&lt;&gt;"",INDIRECT(VLOOKUP(L176,ThangLuongData,3,FALSE)),"")</formula1>
    </dataValidation>
    <dataValidation type="list" sqref="N176" xr:uid="{FA868440-98AB-4D9E-ADCE-04E5CA4CB925}">
      <formula1>=IF(M176&lt;&gt;"",INDIRECT(VLOOKUP(M176,NgachLuongData,4,FALSE)),"")</formula1>
    </dataValidation>
    <dataValidation type="list" sqref="M177" xr:uid="{9DDD236C-2277-490C-BFD0-7713C6076524}">
      <formula1>=IF(L177&lt;&gt;"",INDIRECT(VLOOKUP(L177,ThangLuongData,3,FALSE)),"")</formula1>
    </dataValidation>
    <dataValidation type="list" sqref="N177" xr:uid="{51EE643B-9F65-4D5F-B1F7-823DB4F8FF74}">
      <formula1>=IF(M177&lt;&gt;"",INDIRECT(VLOOKUP(M177,NgachLuongData,4,FALSE)),"")</formula1>
    </dataValidation>
    <dataValidation type="list" sqref="M178" xr:uid="{CB13601B-13F0-4396-A547-8B0D9FF2864A}">
      <formula1>=IF(L178&lt;&gt;"",INDIRECT(VLOOKUP(L178,ThangLuongData,3,FALSE)),"")</formula1>
    </dataValidation>
    <dataValidation type="list" sqref="N178" xr:uid="{E44D41A9-A3C0-4F65-AFBC-C40B96077899}">
      <formula1>=IF(M178&lt;&gt;"",INDIRECT(VLOOKUP(M178,NgachLuongData,4,FALSE)),"")</formula1>
    </dataValidation>
    <dataValidation type="list" sqref="M179" xr:uid="{D4364DD1-06C2-4974-9210-0E698134F945}">
      <formula1>=IF(L179&lt;&gt;"",INDIRECT(VLOOKUP(L179,ThangLuongData,3,FALSE)),"")</formula1>
    </dataValidation>
    <dataValidation type="list" sqref="N179" xr:uid="{3F7A51BE-DAF7-466C-AC86-0D0441E410E9}">
      <formula1>=IF(M179&lt;&gt;"",INDIRECT(VLOOKUP(M179,NgachLuongData,4,FALSE)),"")</formula1>
    </dataValidation>
    <dataValidation type="list" sqref="M180" xr:uid="{47368CE4-8FD8-4FF0-95DF-1468F4DAB9A2}">
      <formula1>=IF(L180&lt;&gt;"",INDIRECT(VLOOKUP(L180,ThangLuongData,3,FALSE)),"")</formula1>
    </dataValidation>
    <dataValidation type="list" sqref="N180" xr:uid="{899EA161-D2E6-4A77-83E5-86E12F33C183}">
      <formula1>=IF(M180&lt;&gt;"",INDIRECT(VLOOKUP(M180,NgachLuongData,4,FALSE)),"")</formula1>
    </dataValidation>
    <dataValidation type="list" sqref="M181" xr:uid="{602F8ACB-2A82-433D-9537-342C49CC2D14}">
      <formula1>=IF(L181&lt;&gt;"",INDIRECT(VLOOKUP(L181,ThangLuongData,3,FALSE)),"")</formula1>
    </dataValidation>
    <dataValidation type="list" sqref="N181" xr:uid="{A7319131-986C-4DA0-9004-C06A9E81DCB4}">
      <formula1>=IF(M181&lt;&gt;"",INDIRECT(VLOOKUP(M181,NgachLuongData,4,FALSE)),"")</formula1>
    </dataValidation>
    <dataValidation type="list" sqref="M182" xr:uid="{3BDA38DC-341C-4379-A79C-025E49D05424}">
      <formula1>=IF(L182&lt;&gt;"",INDIRECT(VLOOKUP(L182,ThangLuongData,3,FALSE)),"")</formula1>
    </dataValidation>
    <dataValidation type="list" sqref="N182" xr:uid="{53B18812-39E4-4F4E-BA08-20A485C23246}">
      <formula1>=IF(M182&lt;&gt;"",INDIRECT(VLOOKUP(M182,NgachLuongData,4,FALSE)),"")</formula1>
    </dataValidation>
    <dataValidation type="list" sqref="M183" xr:uid="{33E7FEE6-29F4-4300-BC04-99DBE0DACDC7}">
      <formula1>=IF(L183&lt;&gt;"",INDIRECT(VLOOKUP(L183,ThangLuongData,3,FALSE)),"")</formula1>
    </dataValidation>
    <dataValidation type="list" sqref="N183" xr:uid="{F45A581E-ACAB-4FE1-B003-140BE6E8F7EA}">
      <formula1>=IF(M183&lt;&gt;"",INDIRECT(VLOOKUP(M183,NgachLuongData,4,FALSE)),"")</formula1>
    </dataValidation>
    <dataValidation type="list" sqref="M184" xr:uid="{792220CB-AFF8-40FC-83B1-277E5DE20478}">
      <formula1>=IF(L184&lt;&gt;"",INDIRECT(VLOOKUP(L184,ThangLuongData,3,FALSE)),"")</formula1>
    </dataValidation>
    <dataValidation type="list" sqref="N184" xr:uid="{AB11E553-9018-4162-BA71-A96FE511E36D}">
      <formula1>=IF(M184&lt;&gt;"",INDIRECT(VLOOKUP(M184,NgachLuongData,4,FALSE)),"")</formula1>
    </dataValidation>
    <dataValidation type="list" sqref="M185" xr:uid="{267DA1F5-A38D-490F-B611-8C8269837D3F}">
      <formula1>=IF(L185&lt;&gt;"",INDIRECT(VLOOKUP(L185,ThangLuongData,3,FALSE)),"")</formula1>
    </dataValidation>
    <dataValidation type="list" sqref="N185" xr:uid="{A41D6C09-D6C6-483B-A2E4-1F0D06D276D3}">
      <formula1>=IF(M185&lt;&gt;"",INDIRECT(VLOOKUP(M185,NgachLuongData,4,FALSE)),"")</formula1>
    </dataValidation>
    <dataValidation type="list" sqref="M186" xr:uid="{987B42C9-5F05-40C4-9A84-CC747EBBD079}">
      <formula1>=IF(L186&lt;&gt;"",INDIRECT(VLOOKUP(L186,ThangLuongData,3,FALSE)),"")</formula1>
    </dataValidation>
    <dataValidation type="list" sqref="N186" xr:uid="{C48374F4-76E1-47CB-84DC-74AE1D0010D9}">
      <formula1>=IF(M186&lt;&gt;"",INDIRECT(VLOOKUP(M186,NgachLuongData,4,FALSE)),"")</formula1>
    </dataValidation>
    <dataValidation type="list" sqref="M187" xr:uid="{0A2E4144-797E-4966-B048-38268EBDBE19}">
      <formula1>=IF(L187&lt;&gt;"",INDIRECT(VLOOKUP(L187,ThangLuongData,3,FALSE)),"")</formula1>
    </dataValidation>
    <dataValidation type="list" sqref="N187" xr:uid="{6326DC9A-1B09-4A4E-9CE3-1EB288A96DEF}">
      <formula1>=IF(M187&lt;&gt;"",INDIRECT(VLOOKUP(M187,NgachLuongData,4,FALSE)),"")</formula1>
    </dataValidation>
    <dataValidation type="list" sqref="M188" xr:uid="{6B725E49-35A1-4A3C-9982-0F5C8DE10DDD}">
      <formula1>=IF(L188&lt;&gt;"",INDIRECT(VLOOKUP(L188,ThangLuongData,3,FALSE)),"")</formula1>
    </dataValidation>
    <dataValidation type="list" sqref="N188" xr:uid="{5E8B724B-C82F-47EB-8E39-A251D5A60325}">
      <formula1>=IF(M188&lt;&gt;"",INDIRECT(VLOOKUP(M188,NgachLuongData,4,FALSE)),"")</formula1>
    </dataValidation>
    <dataValidation type="list" sqref="M189" xr:uid="{3F80F367-8CF6-4753-B914-C3C79CF02E4A}">
      <formula1>=IF(L189&lt;&gt;"",INDIRECT(VLOOKUP(L189,ThangLuongData,3,FALSE)),"")</formula1>
    </dataValidation>
    <dataValidation type="list" sqref="N189" xr:uid="{FA400DB8-237A-4F4B-85EA-87A28A836B9C}">
      <formula1>=IF(M189&lt;&gt;"",INDIRECT(VLOOKUP(M189,NgachLuongData,4,FALSE)),"")</formula1>
    </dataValidation>
    <dataValidation type="list" sqref="M190" xr:uid="{C1A2DA7E-21D7-4C14-B26E-CE4894906279}">
      <formula1>=IF(L190&lt;&gt;"",INDIRECT(VLOOKUP(L190,ThangLuongData,3,FALSE)),"")</formula1>
    </dataValidation>
    <dataValidation type="list" sqref="N190" xr:uid="{750D1AAB-BCE2-4541-AC2D-DBA601377F18}">
      <formula1>=IF(M190&lt;&gt;"",INDIRECT(VLOOKUP(M190,NgachLuongData,4,FALSE)),"")</formula1>
    </dataValidation>
    <dataValidation type="list" sqref="M191" xr:uid="{5999FCBC-AC57-470D-B999-0A95CD6652C8}">
      <formula1>=IF(L191&lt;&gt;"",INDIRECT(VLOOKUP(L191,ThangLuongData,3,FALSE)),"")</formula1>
    </dataValidation>
    <dataValidation type="list" sqref="N191" xr:uid="{73FAAF46-FDE1-4826-B05E-A332DCFC2039}">
      <formula1>=IF(M191&lt;&gt;"",INDIRECT(VLOOKUP(M191,NgachLuongData,4,FALSE)),"")</formula1>
    </dataValidation>
    <dataValidation type="list" sqref="M192" xr:uid="{6854FF5E-D33B-4F65-A3FC-A504E36A4EB4}">
      <formula1>=IF(L192&lt;&gt;"",INDIRECT(VLOOKUP(L192,ThangLuongData,3,FALSE)),"")</formula1>
    </dataValidation>
    <dataValidation type="list" sqref="N192" xr:uid="{8BB0BF5F-50DA-46EA-8719-F11E0E8DF4CE}">
      <formula1>=IF(M192&lt;&gt;"",INDIRECT(VLOOKUP(M192,NgachLuongData,4,FALSE)),"")</formula1>
    </dataValidation>
    <dataValidation type="list" sqref="M193" xr:uid="{F30A52B6-7F68-4C3C-A484-69C5E753B0B5}">
      <formula1>=IF(L193&lt;&gt;"",INDIRECT(VLOOKUP(L193,ThangLuongData,3,FALSE)),"")</formula1>
    </dataValidation>
    <dataValidation type="list" sqref="N193" xr:uid="{69E03394-6210-4C9C-8EF8-B60F98D74093}">
      <formula1>=IF(M193&lt;&gt;"",INDIRECT(VLOOKUP(M193,NgachLuongData,4,FALSE)),"")</formula1>
    </dataValidation>
    <dataValidation type="list" sqref="M194" xr:uid="{A9CF5E5D-FAEF-46E9-8999-9A3E0FF4C652}">
      <formula1>=IF(L194&lt;&gt;"",INDIRECT(VLOOKUP(L194,ThangLuongData,3,FALSE)),"")</formula1>
    </dataValidation>
    <dataValidation type="list" sqref="N194" xr:uid="{3468BD74-9836-4A77-943E-7B8B33F1BBCC}">
      <formula1>=IF(M194&lt;&gt;"",INDIRECT(VLOOKUP(M194,NgachLuongData,4,FALSE)),"")</formula1>
    </dataValidation>
    <dataValidation type="list" sqref="M195" xr:uid="{0A64AC85-2D41-47C0-A49A-5DEDD24F570C}">
      <formula1>=IF(L195&lt;&gt;"",INDIRECT(VLOOKUP(L195,ThangLuongData,3,FALSE)),"")</formula1>
    </dataValidation>
    <dataValidation type="list" sqref="N195" xr:uid="{8C04F5A5-15CC-4785-8EF1-A14A584E22BC}">
      <formula1>=IF(M195&lt;&gt;"",INDIRECT(VLOOKUP(M195,NgachLuongData,4,FALSE)),"")</formula1>
    </dataValidation>
    <dataValidation type="list" sqref="M196" xr:uid="{3BAF5FFA-3F2B-434B-981A-444D82AF82FB}">
      <formula1>=IF(L196&lt;&gt;"",INDIRECT(VLOOKUP(L196,ThangLuongData,3,FALSE)),"")</formula1>
    </dataValidation>
    <dataValidation type="list" sqref="N196" xr:uid="{E947C282-FDE4-4D5F-80ED-0AA5F9CFBA95}">
      <formula1>=IF(M196&lt;&gt;"",INDIRECT(VLOOKUP(M196,NgachLuongData,4,FALSE)),"")</formula1>
    </dataValidation>
    <dataValidation type="list" sqref="M197" xr:uid="{F7C6F384-69EE-406E-AFE7-17E0E8E3EE31}">
      <formula1>=IF(L197&lt;&gt;"",INDIRECT(VLOOKUP(L197,ThangLuongData,3,FALSE)),"")</formula1>
    </dataValidation>
    <dataValidation type="list" sqref="N197" xr:uid="{EB8125BF-704D-4207-A0C7-68598AD03C03}">
      <formula1>=IF(M197&lt;&gt;"",INDIRECT(VLOOKUP(M197,NgachLuongData,4,FALSE)),"")</formula1>
    </dataValidation>
    <dataValidation type="list" sqref="M198" xr:uid="{4F8A59BB-AB8D-4D31-A696-6A6925125AE7}">
      <formula1>=IF(L198&lt;&gt;"",INDIRECT(VLOOKUP(L198,ThangLuongData,3,FALSE)),"")</formula1>
    </dataValidation>
    <dataValidation type="list" sqref="N198" xr:uid="{8BF1C6D7-5ACC-4A46-A062-0A8D7D112272}">
      <formula1>=IF(M198&lt;&gt;"",INDIRECT(VLOOKUP(M198,NgachLuongData,4,FALSE)),"")</formula1>
    </dataValidation>
    <dataValidation type="list" sqref="M199" xr:uid="{F36D59CD-E027-4580-A34C-66B49C17E8FD}">
      <formula1>=IF(L199&lt;&gt;"",INDIRECT(VLOOKUP(L199,ThangLuongData,3,FALSE)),"")</formula1>
    </dataValidation>
    <dataValidation type="list" sqref="N199" xr:uid="{1AF89BC3-2482-482A-BDC6-8BD1F738F1A8}">
      <formula1>=IF(M199&lt;&gt;"",INDIRECT(VLOOKUP(M199,NgachLuongData,4,FALSE)),"")</formula1>
    </dataValidation>
    <dataValidation type="list" sqref="M200" xr:uid="{7F487DE4-B76F-4269-9559-8531937AB328}">
      <formula1>=IF(L200&lt;&gt;"",INDIRECT(VLOOKUP(L200,ThangLuongData,3,FALSE)),"")</formula1>
    </dataValidation>
    <dataValidation type="list" sqref="N200" xr:uid="{AD7BC612-AC47-4D93-BE21-C01F099B528B}">
      <formula1>=IF(M200&lt;&gt;"",INDIRECT(VLOOKUP(M200,NgachLuongData,4,FALSE)),"")</formula1>
    </dataValidation>
    <dataValidation type="list" sqref="M201" xr:uid="{8600A391-F09E-49A1-A51C-613C1375D798}">
      <formula1>=IF(L201&lt;&gt;"",INDIRECT(VLOOKUP(L201,ThangLuongData,3,FALSE)),"")</formula1>
    </dataValidation>
    <dataValidation type="list" sqref="N201" xr:uid="{65BCA630-4750-462D-AEA3-2FB79AF82B8B}">
      <formula1>=IF(M201&lt;&gt;"",INDIRECT(VLOOKUP(M201,NgachLuongData,4,FALSE)),"")</formula1>
    </dataValidation>
    <dataValidation type="list" sqref="M202" xr:uid="{58692065-D064-40C4-9868-AE601FB5DF70}">
      <formula1>=IF(L202&lt;&gt;"",INDIRECT(VLOOKUP(L202,ThangLuongData,3,FALSE)),"")</formula1>
    </dataValidation>
    <dataValidation type="list" sqref="N202" xr:uid="{8DA91C31-3498-4148-94EB-E4219B627620}">
      <formula1>=IF(M202&lt;&gt;"",INDIRECT(VLOOKUP(M202,NgachLuongData,4,FALSE)),"")</formula1>
    </dataValidation>
    <dataValidation type="list" sqref="M203" xr:uid="{20AFA379-1E6B-41FB-B20E-A9FA214EFF51}">
      <formula1>=IF(L203&lt;&gt;"",INDIRECT(VLOOKUP(L203,ThangLuongData,3,FALSE)),"")</formula1>
    </dataValidation>
    <dataValidation type="list" sqref="N203" xr:uid="{9A193703-45D2-4D9F-BD2F-CF54B96202D1}">
      <formula1>=IF(M203&lt;&gt;"",INDIRECT(VLOOKUP(M203,NgachLuongData,4,FALSE)),"")</formula1>
    </dataValidation>
    <dataValidation type="list" sqref="M204" xr:uid="{E0D9FEA2-44E4-4381-907F-C23D31E3B60A}">
      <formula1>=IF(L204&lt;&gt;"",INDIRECT(VLOOKUP(L204,ThangLuongData,3,FALSE)),"")</formula1>
    </dataValidation>
    <dataValidation type="list" sqref="N204" xr:uid="{CAD5FC83-9F88-40C6-B089-E43235D984C4}">
      <formula1>=IF(M204&lt;&gt;"",INDIRECT(VLOOKUP(M204,NgachLuongData,4,FALSE)),"")</formula1>
    </dataValidation>
    <dataValidation type="list" sqref="M205" xr:uid="{4A099814-5066-449E-BBA1-BCC8A641421D}">
      <formula1>=IF(L205&lt;&gt;"",INDIRECT(VLOOKUP(L205,ThangLuongData,3,FALSE)),"")</formula1>
    </dataValidation>
    <dataValidation type="list" sqref="N205" xr:uid="{C03B417F-D9EF-4276-98E5-F2C7CEA9B9E3}">
      <formula1>=IF(M205&lt;&gt;"",INDIRECT(VLOOKUP(M205,NgachLuongData,4,FALSE)),"")</formula1>
    </dataValidation>
    <dataValidation type="list" sqref="M206" xr:uid="{01CA9C8C-AAD5-40D1-B221-91DED5B4626D}">
      <formula1>=IF(L206&lt;&gt;"",INDIRECT(VLOOKUP(L206,ThangLuongData,3,FALSE)),"")</formula1>
    </dataValidation>
    <dataValidation type="list" sqref="N206" xr:uid="{93A2C86B-9A3C-43CD-9486-C09961FC9A22}">
      <formula1>=IF(M206&lt;&gt;"",INDIRECT(VLOOKUP(M206,NgachLuongData,4,FALSE)),"")</formula1>
    </dataValidation>
    <dataValidation type="list" sqref="M207" xr:uid="{09221355-7CAC-485D-B189-59642403677F}">
      <formula1>=IF(L207&lt;&gt;"",INDIRECT(VLOOKUP(L207,ThangLuongData,3,FALSE)),"")</formula1>
    </dataValidation>
    <dataValidation type="list" sqref="N207" xr:uid="{366A1254-3EBB-4A2D-A8EC-A79F0F4AABF1}">
      <formula1>=IF(M207&lt;&gt;"",INDIRECT(VLOOKUP(M207,NgachLuongData,4,FALSE)),"")</formula1>
    </dataValidation>
    <dataValidation type="list" sqref="M208" xr:uid="{16119060-EBDD-4327-9C2B-C9C6FDEE154F}">
      <formula1>=IF(L208&lt;&gt;"",INDIRECT(VLOOKUP(L208,ThangLuongData,3,FALSE)),"")</formula1>
    </dataValidation>
    <dataValidation type="list" sqref="N208" xr:uid="{2CF3BB90-612E-4E98-B3FA-50DF63036CF7}">
      <formula1>=IF(M208&lt;&gt;"",INDIRECT(VLOOKUP(M208,NgachLuongData,4,FALSE)),"")</formula1>
    </dataValidation>
    <dataValidation type="list" sqref="M209" xr:uid="{C50F5F18-24C1-45A6-B893-DD467A254A33}">
      <formula1>=IF(L209&lt;&gt;"",INDIRECT(VLOOKUP(L209,ThangLuongData,3,FALSE)),"")</formula1>
    </dataValidation>
    <dataValidation type="list" sqref="N209" xr:uid="{23C32F41-814E-410B-832E-DAD63E3C4E3D}">
      <formula1>=IF(M209&lt;&gt;"",INDIRECT(VLOOKUP(M209,NgachLuongData,4,FALSE)),"")</formula1>
    </dataValidation>
    <dataValidation type="list" sqref="M210" xr:uid="{B1427E88-FAB0-4AD3-9104-3A6B747E5D5F}">
      <formula1>=IF(L210&lt;&gt;"",INDIRECT(VLOOKUP(L210,ThangLuongData,3,FALSE)),"")</formula1>
    </dataValidation>
    <dataValidation type="list" sqref="N210" xr:uid="{A09158F6-D08D-4403-9940-205F25BC07C8}">
      <formula1>=IF(M210&lt;&gt;"",INDIRECT(VLOOKUP(M210,NgachLuongData,4,FALSE)),"")</formula1>
    </dataValidation>
    <dataValidation type="list" sqref="M211" xr:uid="{A45CBC3F-B507-49A0-9CA2-252A742D0CB6}">
      <formula1>=IF(L211&lt;&gt;"",INDIRECT(VLOOKUP(L211,ThangLuongData,3,FALSE)),"")</formula1>
    </dataValidation>
    <dataValidation type="list" sqref="N211" xr:uid="{BD6D5184-AB5D-429F-958A-FEA7BAA2254A}">
      <formula1>=IF(M211&lt;&gt;"",INDIRECT(VLOOKUP(M211,NgachLuongData,4,FALSE)),"")</formula1>
    </dataValidation>
    <dataValidation type="list" sqref="M212" xr:uid="{54812D98-728C-4854-8321-F924666F03DE}">
      <formula1>=IF(L212&lt;&gt;"",INDIRECT(VLOOKUP(L212,ThangLuongData,3,FALSE)),"")</formula1>
    </dataValidation>
    <dataValidation type="list" sqref="N212" xr:uid="{2F427A3A-9DCD-4030-8C16-92C2983C69CF}">
      <formula1>=IF(M212&lt;&gt;"",INDIRECT(VLOOKUP(M212,NgachLuongData,4,FALSE)),"")</formula1>
    </dataValidation>
    <dataValidation type="list" sqref="M213" xr:uid="{6C1651DC-04FD-4D32-A5A4-1A129E5CC410}">
      <formula1>=IF(L213&lt;&gt;"",INDIRECT(VLOOKUP(L213,ThangLuongData,3,FALSE)),"")</formula1>
    </dataValidation>
    <dataValidation type="list" sqref="N213" xr:uid="{26A75B61-6643-4D25-B4A3-CC4EF13D205B}">
      <formula1>=IF(M213&lt;&gt;"",INDIRECT(VLOOKUP(M213,NgachLuongData,4,FALSE)),"")</formula1>
    </dataValidation>
    <dataValidation type="list" sqref="M214" xr:uid="{4042E913-E22D-4C1F-9565-3459F79B25F5}">
      <formula1>=IF(L214&lt;&gt;"",INDIRECT(VLOOKUP(L214,ThangLuongData,3,FALSE)),"")</formula1>
    </dataValidation>
    <dataValidation type="list" sqref="N214" xr:uid="{5F37D14F-0B62-4FB8-B521-DDC02EFADDB7}">
      <formula1>=IF(M214&lt;&gt;"",INDIRECT(VLOOKUP(M214,NgachLuongData,4,FALSE)),"")</formula1>
    </dataValidation>
    <dataValidation type="list" sqref="M215" xr:uid="{0440E905-0EC1-46F1-857A-25A1AA97C8B5}">
      <formula1>=IF(L215&lt;&gt;"",INDIRECT(VLOOKUP(L215,ThangLuongData,3,FALSE)),"")</formula1>
    </dataValidation>
    <dataValidation type="list" sqref="N215" xr:uid="{681B075C-FCCC-4BCB-B0B6-43AEBE1C8FE0}">
      <formula1>=IF(M215&lt;&gt;"",INDIRECT(VLOOKUP(M215,NgachLuongData,4,FALSE)),"")</formula1>
    </dataValidation>
    <dataValidation type="list" sqref="M216" xr:uid="{89BE4C91-157A-478B-A3BF-7075C4239AF4}">
      <formula1>=IF(L216&lt;&gt;"",INDIRECT(VLOOKUP(L216,ThangLuongData,3,FALSE)),"")</formula1>
    </dataValidation>
    <dataValidation type="list" sqref="N216" xr:uid="{8095054E-A788-4FF0-BA59-868494E78365}">
      <formula1>=IF(M216&lt;&gt;"",INDIRECT(VLOOKUP(M216,NgachLuongData,4,FALSE)),"")</formula1>
    </dataValidation>
    <dataValidation type="list" sqref="M217" xr:uid="{C6B4113D-0E83-4D9E-8871-F9B3087ED2A1}">
      <formula1>=IF(L217&lt;&gt;"",INDIRECT(VLOOKUP(L217,ThangLuongData,3,FALSE)),"")</formula1>
    </dataValidation>
    <dataValidation type="list" sqref="N217" xr:uid="{D833CFCD-1413-4609-AB88-EE63BB4B2BDC}">
      <formula1>=IF(M217&lt;&gt;"",INDIRECT(VLOOKUP(M217,NgachLuongData,4,FALSE)),"")</formula1>
    </dataValidation>
    <dataValidation type="list" sqref="M218" xr:uid="{4B4ECF3F-A95B-443B-8BE9-F0D87D04637C}">
      <formula1>=IF(L218&lt;&gt;"",INDIRECT(VLOOKUP(L218,ThangLuongData,3,FALSE)),"")</formula1>
    </dataValidation>
    <dataValidation type="list" sqref="N218" xr:uid="{357864EA-80D0-4FF0-8DF9-0181313D3236}">
      <formula1>=IF(M218&lt;&gt;"",INDIRECT(VLOOKUP(M218,NgachLuongData,4,FALSE)),"")</formula1>
    </dataValidation>
    <dataValidation type="list" sqref="M219" xr:uid="{1D0E6DD7-EBC8-4E26-B9A9-B7AE7F5CE636}">
      <formula1>=IF(L219&lt;&gt;"",INDIRECT(VLOOKUP(L219,ThangLuongData,3,FALSE)),"")</formula1>
    </dataValidation>
    <dataValidation type="list" sqref="N219" xr:uid="{A3FC7155-B833-4C8E-AEE1-0C791A799C94}">
      <formula1>=IF(M219&lt;&gt;"",INDIRECT(VLOOKUP(M219,NgachLuongData,4,FALSE)),"")</formula1>
    </dataValidation>
    <dataValidation type="list" sqref="M220" xr:uid="{2EEEB5C7-B829-4278-AC84-F7084CB9C157}">
      <formula1>=IF(L220&lt;&gt;"",INDIRECT(VLOOKUP(L220,ThangLuongData,3,FALSE)),"")</formula1>
    </dataValidation>
    <dataValidation type="list" sqref="N220" xr:uid="{800DDBFE-52A2-4EA0-9A31-272D8F86C6AE}">
      <formula1>=IF(M220&lt;&gt;"",INDIRECT(VLOOKUP(M220,NgachLuongData,4,FALSE)),"")</formula1>
    </dataValidation>
    <dataValidation type="list" sqref="M221" xr:uid="{5005A8AF-4F5A-4C3D-B653-2B0D761551E9}">
      <formula1>=IF(L221&lt;&gt;"",INDIRECT(VLOOKUP(L221,ThangLuongData,3,FALSE)),"")</formula1>
    </dataValidation>
    <dataValidation type="list" sqref="N221" xr:uid="{EE410B92-AD73-4661-BD0C-668732AEF7F1}">
      <formula1>=IF(M221&lt;&gt;"",INDIRECT(VLOOKUP(M221,NgachLuongData,4,FALSE)),"")</formula1>
    </dataValidation>
    <dataValidation type="list" sqref="M222" xr:uid="{E618F549-B916-4953-9610-9C0D2330D7E6}">
      <formula1>=IF(L222&lt;&gt;"",INDIRECT(VLOOKUP(L222,ThangLuongData,3,FALSE)),"")</formula1>
    </dataValidation>
    <dataValidation type="list" sqref="N222" xr:uid="{0C9996BB-DAD8-4869-B128-3D10C08ACB89}">
      <formula1>=IF(M222&lt;&gt;"",INDIRECT(VLOOKUP(M222,NgachLuongData,4,FALSE)),"")</formula1>
    </dataValidation>
    <dataValidation type="list" sqref="M223" xr:uid="{D26DC611-1236-4D37-AB00-687C7592D4D7}">
      <formula1>=IF(L223&lt;&gt;"",INDIRECT(VLOOKUP(L223,ThangLuongData,3,FALSE)),"")</formula1>
    </dataValidation>
    <dataValidation type="list" sqref="N223" xr:uid="{860E0ECE-5E5E-4ADE-9D36-86174678AB07}">
      <formula1>=IF(M223&lt;&gt;"",INDIRECT(VLOOKUP(M223,NgachLuongData,4,FALSE)),"")</formula1>
    </dataValidation>
    <dataValidation type="list" sqref="M224" xr:uid="{1FCC016A-A614-4E0C-8C3E-1936282985A4}">
      <formula1>=IF(L224&lt;&gt;"",INDIRECT(VLOOKUP(L224,ThangLuongData,3,FALSE)),"")</formula1>
    </dataValidation>
    <dataValidation type="list" sqref="N224" xr:uid="{34180832-A83D-4BDF-B620-A1B22A4CDC92}">
      <formula1>=IF(M224&lt;&gt;"",INDIRECT(VLOOKUP(M224,NgachLuongData,4,FALSE)),"")</formula1>
    </dataValidation>
    <dataValidation type="list" sqref="M225" xr:uid="{631035B6-BAB8-4895-92DE-6AF98F90DC3C}">
      <formula1>=IF(L225&lt;&gt;"",INDIRECT(VLOOKUP(L225,ThangLuongData,3,FALSE)),"")</formula1>
    </dataValidation>
    <dataValidation type="list" sqref="N225" xr:uid="{391ED131-5CDA-44AC-80E2-BD5E54658648}">
      <formula1>=IF(M225&lt;&gt;"",INDIRECT(VLOOKUP(M225,NgachLuongData,4,FALSE)),"")</formula1>
    </dataValidation>
    <dataValidation type="list" sqref="M226" xr:uid="{EEECD43E-F0D0-4991-8C2C-3E45B2765491}">
      <formula1>=IF(L226&lt;&gt;"",INDIRECT(VLOOKUP(L226,ThangLuongData,3,FALSE)),"")</formula1>
    </dataValidation>
    <dataValidation type="list" sqref="N226" xr:uid="{BF55FA7B-1C17-48BC-ABEC-D8648879E8A0}">
      <formula1>=IF(M226&lt;&gt;"",INDIRECT(VLOOKUP(M226,NgachLuongData,4,FALSE)),"")</formula1>
    </dataValidation>
    <dataValidation type="list" sqref="M227" xr:uid="{07F5D286-AD48-40CF-BA44-9AAA75266AE8}">
      <formula1>=IF(L227&lt;&gt;"",INDIRECT(VLOOKUP(L227,ThangLuongData,3,FALSE)),"")</formula1>
    </dataValidation>
    <dataValidation type="list" sqref="N227" xr:uid="{370B2E71-F38F-4C86-9C5D-9F72BD424612}">
      <formula1>=IF(M227&lt;&gt;"",INDIRECT(VLOOKUP(M227,NgachLuongData,4,FALSE)),"")</formula1>
    </dataValidation>
    <dataValidation type="list" sqref="M228" xr:uid="{4410AE8E-C6D2-46DA-B140-7653CE6E84A2}">
      <formula1>=IF(L228&lt;&gt;"",INDIRECT(VLOOKUP(L228,ThangLuongData,3,FALSE)),"")</formula1>
    </dataValidation>
    <dataValidation type="list" sqref="N228" xr:uid="{862120BF-2A0C-43DA-A807-779A2C3A6A0D}">
      <formula1>=IF(M228&lt;&gt;"",INDIRECT(VLOOKUP(M228,NgachLuongData,4,FALSE)),"")</formula1>
    </dataValidation>
    <dataValidation type="list" sqref="M229" xr:uid="{F3876D52-53E1-499C-AFDD-CBA41B42DE68}">
      <formula1>=IF(L229&lt;&gt;"",INDIRECT(VLOOKUP(L229,ThangLuongData,3,FALSE)),"")</formula1>
    </dataValidation>
    <dataValidation type="list" sqref="N229" xr:uid="{DC1C539B-CF45-4EB5-ADE7-9052B77A3B35}">
      <formula1>=IF(M229&lt;&gt;"",INDIRECT(VLOOKUP(M229,NgachLuongData,4,FALSE)),"")</formula1>
    </dataValidation>
    <dataValidation type="list" sqref="M230" xr:uid="{9226AACA-C8F8-4E9B-B884-A3FFC97D56AE}">
      <formula1>=IF(L230&lt;&gt;"",INDIRECT(VLOOKUP(L230,ThangLuongData,3,FALSE)),"")</formula1>
    </dataValidation>
    <dataValidation type="list" sqref="N230" xr:uid="{38A8F9A1-6E59-4F8B-977C-EDDE7B076C54}">
      <formula1>=IF(M230&lt;&gt;"",INDIRECT(VLOOKUP(M230,NgachLuongData,4,FALSE)),"")</formula1>
    </dataValidation>
    <dataValidation type="list" sqref="M231" xr:uid="{2683163D-D09D-48C4-8D86-0547BA19408D}">
      <formula1>=IF(L231&lt;&gt;"",INDIRECT(VLOOKUP(L231,ThangLuongData,3,FALSE)),"")</formula1>
    </dataValidation>
    <dataValidation type="list" sqref="N231" xr:uid="{FD4F7717-AFE1-4A27-B8EB-E98940D3352F}">
      <formula1>=IF(M231&lt;&gt;"",INDIRECT(VLOOKUP(M231,NgachLuongData,4,FALSE)),"")</formula1>
    </dataValidation>
    <dataValidation type="list" sqref="M232" xr:uid="{512D1F48-1F75-4E7E-AA82-56DE5EA8F219}">
      <formula1>=IF(L232&lt;&gt;"",INDIRECT(VLOOKUP(L232,ThangLuongData,3,FALSE)),"")</formula1>
    </dataValidation>
    <dataValidation type="list" sqref="N232" xr:uid="{4CC4D231-C68F-428A-B7BD-6FE2A18FAC9A}">
      <formula1>=IF(M232&lt;&gt;"",INDIRECT(VLOOKUP(M232,NgachLuongData,4,FALSE)),"")</formula1>
    </dataValidation>
    <dataValidation type="list" sqref="M233" xr:uid="{C89011BF-C7E9-4978-8A49-F108D23A088B}">
      <formula1>=IF(L233&lt;&gt;"",INDIRECT(VLOOKUP(L233,ThangLuongData,3,FALSE)),"")</formula1>
    </dataValidation>
    <dataValidation type="list" sqref="N233" xr:uid="{0C693156-2FA5-4B8F-BB23-03BC02D85753}">
      <formula1>=IF(M233&lt;&gt;"",INDIRECT(VLOOKUP(M233,NgachLuongData,4,FALSE)),"")</formula1>
    </dataValidation>
    <dataValidation type="list" sqref="M234" xr:uid="{0390B92F-F9D6-4ACF-B1F3-27F803E52A63}">
      <formula1>=IF(L234&lt;&gt;"",INDIRECT(VLOOKUP(L234,ThangLuongData,3,FALSE)),"")</formula1>
    </dataValidation>
    <dataValidation type="list" sqref="N234" xr:uid="{9A51A306-E080-41FC-A1F9-E7C539B8097B}">
      <formula1>=IF(M234&lt;&gt;"",INDIRECT(VLOOKUP(M234,NgachLuongData,4,FALSE)),"")</formula1>
    </dataValidation>
    <dataValidation type="list" sqref="M235" xr:uid="{D4998929-E719-409D-80D7-C63BE81F85FE}">
      <formula1>=IF(L235&lt;&gt;"",INDIRECT(VLOOKUP(L235,ThangLuongData,3,FALSE)),"")</formula1>
    </dataValidation>
    <dataValidation type="list" sqref="N235" xr:uid="{CD7383B0-11F5-4887-922D-93B66E208994}">
      <formula1>=IF(M235&lt;&gt;"",INDIRECT(VLOOKUP(M235,NgachLuongData,4,FALSE)),"")</formula1>
    </dataValidation>
    <dataValidation type="list" sqref="M236" xr:uid="{33BB5BDC-DC4F-4388-9195-5EC98784F0FB}">
      <formula1>=IF(L236&lt;&gt;"",INDIRECT(VLOOKUP(L236,ThangLuongData,3,FALSE)),"")</formula1>
    </dataValidation>
    <dataValidation type="list" sqref="N236" xr:uid="{8E80B48D-0C17-4BD0-AEE2-BC011723CA79}">
      <formula1>=IF(M236&lt;&gt;"",INDIRECT(VLOOKUP(M236,NgachLuongData,4,FALSE)),"")</formula1>
    </dataValidation>
    <dataValidation type="list" sqref="M237" xr:uid="{F83E7F08-44C1-4D43-BCE3-7F835BA58041}">
      <formula1>=IF(L237&lt;&gt;"",INDIRECT(VLOOKUP(L237,ThangLuongData,3,FALSE)),"")</formula1>
    </dataValidation>
    <dataValidation type="list" sqref="N237" xr:uid="{AB6E2E96-3DA2-48EC-AE4C-1630BB584924}">
      <formula1>=IF(M237&lt;&gt;"",INDIRECT(VLOOKUP(M237,NgachLuongData,4,FALSE)),"")</formula1>
    </dataValidation>
    <dataValidation type="list" sqref="M238" xr:uid="{8FC9B3F9-0323-43B3-9BB8-85D8ABFF31BB}">
      <formula1>=IF(L238&lt;&gt;"",INDIRECT(VLOOKUP(L238,ThangLuongData,3,FALSE)),"")</formula1>
    </dataValidation>
    <dataValidation type="list" sqref="N238" xr:uid="{53D180A8-E999-404F-8DAF-0EA91E6BDA44}">
      <formula1>=IF(M238&lt;&gt;"",INDIRECT(VLOOKUP(M238,NgachLuongData,4,FALSE)),"")</formula1>
    </dataValidation>
    <dataValidation type="list" sqref="M239" xr:uid="{4D92F7B5-131B-476B-8292-A01D04D5A132}">
      <formula1>=IF(L239&lt;&gt;"",INDIRECT(VLOOKUP(L239,ThangLuongData,3,FALSE)),"")</formula1>
    </dataValidation>
    <dataValidation type="list" sqref="N239" xr:uid="{83E3ADCD-F595-49AA-8385-3156205D0C33}">
      <formula1>=IF(M239&lt;&gt;"",INDIRECT(VLOOKUP(M239,NgachLuongData,4,FALSE)),"")</formula1>
    </dataValidation>
    <dataValidation type="list" sqref="M240" xr:uid="{076BC818-3E28-433E-ADA8-BF7358EE7688}">
      <formula1>=IF(L240&lt;&gt;"",INDIRECT(VLOOKUP(L240,ThangLuongData,3,FALSE)),"")</formula1>
    </dataValidation>
    <dataValidation type="list" sqref="N240" xr:uid="{8EC44608-82C5-401C-8E35-CE1BBF42DD1C}">
      <formula1>=IF(M240&lt;&gt;"",INDIRECT(VLOOKUP(M240,NgachLuongData,4,FALSE)),"")</formula1>
    </dataValidation>
    <dataValidation type="list" sqref="M241" xr:uid="{48D0A982-B43F-4D84-9628-578ABE08B5F7}">
      <formula1>=IF(L241&lt;&gt;"",INDIRECT(VLOOKUP(L241,ThangLuongData,3,FALSE)),"")</formula1>
    </dataValidation>
    <dataValidation type="list" sqref="N241" xr:uid="{9615A11D-B963-45CC-84D5-367BB869E5EF}">
      <formula1>=IF(M241&lt;&gt;"",INDIRECT(VLOOKUP(M241,NgachLuongData,4,FALSE)),"")</formula1>
    </dataValidation>
    <dataValidation type="list" sqref="M242" xr:uid="{5E841808-57B5-4E22-9392-49E0E91C53E3}">
      <formula1>=IF(L242&lt;&gt;"",INDIRECT(VLOOKUP(L242,ThangLuongData,3,FALSE)),"")</formula1>
    </dataValidation>
    <dataValidation type="list" sqref="N242" xr:uid="{05EDE20C-7B37-4E17-ABF6-D2D001BD2AD6}">
      <formula1>=IF(M242&lt;&gt;"",INDIRECT(VLOOKUP(M242,NgachLuongData,4,FALSE)),"")</formula1>
    </dataValidation>
    <dataValidation type="list" sqref="M243" xr:uid="{43FAC472-AE92-45AD-9173-05C4C8133B22}">
      <formula1>=IF(L243&lt;&gt;"",INDIRECT(VLOOKUP(L243,ThangLuongData,3,FALSE)),"")</formula1>
    </dataValidation>
    <dataValidation type="list" sqref="N243" xr:uid="{4F41F6FF-C2B7-4B39-B36B-49A5851A5021}">
      <formula1>=IF(M243&lt;&gt;"",INDIRECT(VLOOKUP(M243,NgachLuongData,4,FALSE)),"")</formula1>
    </dataValidation>
    <dataValidation type="list" sqref="M244" xr:uid="{CB301789-B445-4D77-A7FF-4952E8DC75F2}">
      <formula1>=IF(L244&lt;&gt;"",INDIRECT(VLOOKUP(L244,ThangLuongData,3,FALSE)),"")</formula1>
    </dataValidation>
    <dataValidation type="list" sqref="N244" xr:uid="{BDE1AA65-4E0C-4550-A748-B82AC45017D5}">
      <formula1>=IF(M244&lt;&gt;"",INDIRECT(VLOOKUP(M244,NgachLuongData,4,FALSE)),"")</formula1>
    </dataValidation>
    <dataValidation type="list" sqref="M245" xr:uid="{F55BC2EB-9292-46EF-9A1E-D8C6436ECB86}">
      <formula1>=IF(L245&lt;&gt;"",INDIRECT(VLOOKUP(L245,ThangLuongData,3,FALSE)),"")</formula1>
    </dataValidation>
    <dataValidation type="list" sqref="N245" xr:uid="{1E96B740-434D-4404-A884-8EC012DEB379}">
      <formula1>=IF(M245&lt;&gt;"",INDIRECT(VLOOKUP(M245,NgachLuongData,4,FALSE)),"")</formula1>
    </dataValidation>
    <dataValidation type="list" sqref="M246" xr:uid="{AA0AB7DF-8E54-4EDA-925D-D0B90DAF9D74}">
      <formula1>=IF(L246&lt;&gt;"",INDIRECT(VLOOKUP(L246,ThangLuongData,3,FALSE)),"")</formula1>
    </dataValidation>
    <dataValidation type="list" sqref="N246" xr:uid="{CCAF7AF8-47D2-4880-82BE-B43D77373A2B}">
      <formula1>=IF(M246&lt;&gt;"",INDIRECT(VLOOKUP(M246,NgachLuongData,4,FALSE)),"")</formula1>
    </dataValidation>
    <dataValidation type="list" sqref="M247" xr:uid="{D63B2815-B770-4C68-B0F2-852D2231C627}">
      <formula1>=IF(L247&lt;&gt;"",INDIRECT(VLOOKUP(L247,ThangLuongData,3,FALSE)),"")</formula1>
    </dataValidation>
    <dataValidation type="list" sqref="N247" xr:uid="{9F9136B7-5FED-4FDF-BA08-8784547AACE7}">
      <formula1>=IF(M247&lt;&gt;"",INDIRECT(VLOOKUP(M247,NgachLuongData,4,FALSE)),"")</formula1>
    </dataValidation>
    <dataValidation type="list" sqref="M248" xr:uid="{C9CBE3A4-8DE2-4752-9597-D4CBCA13B793}">
      <formula1>=IF(L248&lt;&gt;"",INDIRECT(VLOOKUP(L248,ThangLuongData,3,FALSE)),"")</formula1>
    </dataValidation>
    <dataValidation type="list" sqref="N248" xr:uid="{5291AB09-FC20-4FA1-B7BF-7B04CF2BC33E}">
      <formula1>=IF(M248&lt;&gt;"",INDIRECT(VLOOKUP(M248,NgachLuongData,4,FALSE)),"")</formula1>
    </dataValidation>
    <dataValidation type="list" sqref="M249" xr:uid="{68A7B9A6-CA18-48C7-BA53-442B7A09865F}">
      <formula1>=IF(L249&lt;&gt;"",INDIRECT(VLOOKUP(L249,ThangLuongData,3,FALSE)),"")</formula1>
    </dataValidation>
    <dataValidation type="list" sqref="N249" xr:uid="{7678D13A-97B4-41B7-971B-1815DC28EA66}">
      <formula1>=IF(M249&lt;&gt;"",INDIRECT(VLOOKUP(M249,NgachLuongData,4,FALSE)),"")</formula1>
    </dataValidation>
    <dataValidation type="list" sqref="M250" xr:uid="{2DBA01A1-C6A6-43B1-9699-872B5A4D2AB4}">
      <formula1>=IF(L250&lt;&gt;"",INDIRECT(VLOOKUP(L250,ThangLuongData,3,FALSE)),"")</formula1>
    </dataValidation>
    <dataValidation type="list" sqref="N250" xr:uid="{E472496E-EC24-433A-A3B6-2200BBB655CB}">
      <formula1>=IF(M250&lt;&gt;"",INDIRECT(VLOOKUP(M250,NgachLuongData,4,FALSE)),"")</formula1>
    </dataValidation>
    <dataValidation type="list" sqref="M251" xr:uid="{82898274-91E4-4A80-917C-F3235B7C17B5}">
      <formula1>=IF(L251&lt;&gt;"",INDIRECT(VLOOKUP(L251,ThangLuongData,3,FALSE)),"")</formula1>
    </dataValidation>
    <dataValidation type="list" sqref="N251" xr:uid="{A989CF97-EAD3-4D69-A2DF-63A547FBEB4F}">
      <formula1>=IF(M251&lt;&gt;"",INDIRECT(VLOOKUP(M251,NgachLuongData,4,FALSE)),"")</formula1>
    </dataValidation>
    <dataValidation type="list" sqref="M252" xr:uid="{26203AAA-9FE0-4F26-A1BC-FE6FA267DFD8}">
      <formula1>=IF(L252&lt;&gt;"",INDIRECT(VLOOKUP(L252,ThangLuongData,3,FALSE)),"")</formula1>
    </dataValidation>
    <dataValidation type="list" sqref="N252" xr:uid="{A019F58E-4816-4CB2-AAAF-BFF9825B206F}">
      <formula1>=IF(M252&lt;&gt;"",INDIRECT(VLOOKUP(M252,NgachLuongData,4,FALSE)),"")</formula1>
    </dataValidation>
    <dataValidation type="list" sqref="M253" xr:uid="{56AFAF68-4C63-4C67-B393-C1D404B350F1}">
      <formula1>=IF(L253&lt;&gt;"",INDIRECT(VLOOKUP(L253,ThangLuongData,3,FALSE)),"")</formula1>
    </dataValidation>
    <dataValidation type="list" sqref="N253" xr:uid="{5CD5C5C7-6555-431B-85A1-2512A118AC27}">
      <formula1>=IF(M253&lt;&gt;"",INDIRECT(VLOOKUP(M253,NgachLuongData,4,FALSE)),"")</formula1>
    </dataValidation>
    <dataValidation type="list" sqref="M254" xr:uid="{A992CC0B-973A-496E-BF90-C4A26C47FD1A}">
      <formula1>=IF(L254&lt;&gt;"",INDIRECT(VLOOKUP(L254,ThangLuongData,3,FALSE)),"")</formula1>
    </dataValidation>
    <dataValidation type="list" sqref="N254" xr:uid="{5E14EF4C-7DA1-403D-99D9-C6F563352D9B}">
      <formula1>=IF(M254&lt;&gt;"",INDIRECT(VLOOKUP(M254,NgachLuongData,4,FALSE)),"")</formula1>
    </dataValidation>
    <dataValidation type="list" sqref="M255" xr:uid="{FEC31B97-1419-40CA-823B-1092A3FDD125}">
      <formula1>=IF(L255&lt;&gt;"",INDIRECT(VLOOKUP(L255,ThangLuongData,3,FALSE)),"")</formula1>
    </dataValidation>
    <dataValidation type="list" sqref="N255" xr:uid="{D35DEC09-2CDD-404A-B554-32156E6EA9AA}">
      <formula1>=IF(M255&lt;&gt;"",INDIRECT(VLOOKUP(M255,NgachLuongData,4,FALSE)),"")</formula1>
    </dataValidation>
    <dataValidation type="list" sqref="M256" xr:uid="{ACA3519A-3CB3-42C6-9A0E-C08D787EDEEC}">
      <formula1>=IF(L256&lt;&gt;"",INDIRECT(VLOOKUP(L256,ThangLuongData,3,FALSE)),"")</formula1>
    </dataValidation>
    <dataValidation type="list" sqref="N256" xr:uid="{955D5785-43A2-43F8-A03D-B46C3C46632A}">
      <formula1>=IF(M256&lt;&gt;"",INDIRECT(VLOOKUP(M256,NgachLuongData,4,FALSE)),"")</formula1>
    </dataValidation>
    <dataValidation type="list" sqref="M257" xr:uid="{F1919D5F-02F7-48AE-BA21-9042CE4E2200}">
      <formula1>=IF(L257&lt;&gt;"",INDIRECT(VLOOKUP(L257,ThangLuongData,3,FALSE)),"")</formula1>
    </dataValidation>
    <dataValidation type="list" sqref="N257" xr:uid="{B775D033-7130-47DE-A831-F4C204DF4CE5}">
      <formula1>=IF(M257&lt;&gt;"",INDIRECT(VLOOKUP(M257,NgachLuongData,4,FALSE)),"")</formula1>
    </dataValidation>
    <dataValidation type="list" sqref="M258" xr:uid="{98C0058A-D8F4-4F6D-BC2C-FE85778C4BF8}">
      <formula1>=IF(L258&lt;&gt;"",INDIRECT(VLOOKUP(L258,ThangLuongData,3,FALSE)),"")</formula1>
    </dataValidation>
    <dataValidation type="list" sqref="N258" xr:uid="{BC574B50-AF0A-45EA-9C52-35465AE56197}">
      <formula1>=IF(M258&lt;&gt;"",INDIRECT(VLOOKUP(M258,NgachLuongData,4,FALSE)),"")</formula1>
    </dataValidation>
    <dataValidation type="list" sqref="M259" xr:uid="{3D4130A1-C3A1-4C61-861A-7CE7EB75E52C}">
      <formula1>=IF(L259&lt;&gt;"",INDIRECT(VLOOKUP(L259,ThangLuongData,3,FALSE)),"")</formula1>
    </dataValidation>
    <dataValidation type="list" sqref="N259" xr:uid="{B80652E8-8B64-4334-9E50-6771CBD54345}">
      <formula1>=IF(M259&lt;&gt;"",INDIRECT(VLOOKUP(M259,NgachLuongData,4,FALSE)),"")</formula1>
    </dataValidation>
    <dataValidation type="list" sqref="M260" xr:uid="{E1E0931E-1010-4B0D-B919-1A92CC857A2E}">
      <formula1>=IF(L260&lt;&gt;"",INDIRECT(VLOOKUP(L260,ThangLuongData,3,FALSE)),"")</formula1>
    </dataValidation>
    <dataValidation type="list" sqref="N260" xr:uid="{91D9D2E7-296D-45AD-ADB0-458AA12D036F}">
      <formula1>=IF(M260&lt;&gt;"",INDIRECT(VLOOKUP(M260,NgachLuongData,4,FALSE)),"")</formula1>
    </dataValidation>
    <dataValidation type="list" sqref="M261" xr:uid="{39BCB276-8E37-400E-BFA8-59E011DE3420}">
      <formula1>=IF(L261&lt;&gt;"",INDIRECT(VLOOKUP(L261,ThangLuongData,3,FALSE)),"")</formula1>
    </dataValidation>
    <dataValidation type="list" sqref="N261" xr:uid="{53706B58-6382-4B54-86E3-764A85FB8374}">
      <formula1>=IF(M261&lt;&gt;"",INDIRECT(VLOOKUP(M261,NgachLuongData,4,FALSE)),"")</formula1>
    </dataValidation>
    <dataValidation type="list" sqref="M262" xr:uid="{529C4E0A-7D99-49ED-8FA7-E98E3FFEC65D}">
      <formula1>=IF(L262&lt;&gt;"",INDIRECT(VLOOKUP(L262,ThangLuongData,3,FALSE)),"")</formula1>
    </dataValidation>
    <dataValidation type="list" sqref="N262" xr:uid="{049021AC-83FE-4BA0-AB0B-126B38871853}">
      <formula1>=IF(M262&lt;&gt;"",INDIRECT(VLOOKUP(M262,NgachLuongData,4,FALSE)),"")</formula1>
    </dataValidation>
    <dataValidation type="list" sqref="M263" xr:uid="{8D59882A-8CEE-4572-9366-B91B7C5C1E7B}">
      <formula1>=IF(L263&lt;&gt;"",INDIRECT(VLOOKUP(L263,ThangLuongData,3,FALSE)),"")</formula1>
    </dataValidation>
    <dataValidation type="list" sqref="N263" xr:uid="{BFEC0C39-3245-4408-9C7A-462A3CCA7401}">
      <formula1>=IF(M263&lt;&gt;"",INDIRECT(VLOOKUP(M263,NgachLuongData,4,FALSE)),"")</formula1>
    </dataValidation>
    <dataValidation type="list" sqref="M264" xr:uid="{2ABF342F-CFE8-43ED-A6E2-1AD9BC70907C}">
      <formula1>=IF(L264&lt;&gt;"",INDIRECT(VLOOKUP(L264,ThangLuongData,3,FALSE)),"")</formula1>
    </dataValidation>
    <dataValidation type="list" sqref="N264" xr:uid="{7015CC81-B98E-4EE7-8796-332736BFC6A7}">
      <formula1>=IF(M264&lt;&gt;"",INDIRECT(VLOOKUP(M264,NgachLuongData,4,FALSE)),"")</formula1>
    </dataValidation>
    <dataValidation type="list" sqref="M265" xr:uid="{A5AC4864-0A62-4DE4-943E-CC3238A30A12}">
      <formula1>=IF(L265&lt;&gt;"",INDIRECT(VLOOKUP(L265,ThangLuongData,3,FALSE)),"")</formula1>
    </dataValidation>
    <dataValidation type="list" sqref="N265" xr:uid="{59AC84C6-17B2-4F29-9D4D-8B58C7A059E7}">
      <formula1>=IF(M265&lt;&gt;"",INDIRECT(VLOOKUP(M265,NgachLuongData,4,FALSE)),"")</formula1>
    </dataValidation>
    <dataValidation type="list" sqref="M266" xr:uid="{246FF6B3-1343-4CD3-816A-26A259A5A7C9}">
      <formula1>=IF(L266&lt;&gt;"",INDIRECT(VLOOKUP(L266,ThangLuongData,3,FALSE)),"")</formula1>
    </dataValidation>
    <dataValidation type="list" sqref="N266" xr:uid="{2B7E499E-9CA5-4B81-94E7-BC4B5DF682F0}">
      <formula1>=IF(M266&lt;&gt;"",INDIRECT(VLOOKUP(M266,NgachLuongData,4,FALSE)),"")</formula1>
    </dataValidation>
    <dataValidation type="list" sqref="M267" xr:uid="{180BFCB7-D50A-4B7F-BB60-27B69B89002C}">
      <formula1>=IF(L267&lt;&gt;"",INDIRECT(VLOOKUP(L267,ThangLuongData,3,FALSE)),"")</formula1>
    </dataValidation>
    <dataValidation type="list" sqref="N267" xr:uid="{B082D103-892D-43D5-9CE8-4B9997D6293D}">
      <formula1>=IF(M267&lt;&gt;"",INDIRECT(VLOOKUP(M267,NgachLuongData,4,FALSE)),"")</formula1>
    </dataValidation>
    <dataValidation type="list" sqref="M268" xr:uid="{B844E12C-527D-4067-B896-9121347B0817}">
      <formula1>=IF(L268&lt;&gt;"",INDIRECT(VLOOKUP(L268,ThangLuongData,3,FALSE)),"")</formula1>
    </dataValidation>
    <dataValidation type="list" sqref="N268" xr:uid="{69C11765-F406-4224-9D27-6138D42BFDC2}">
      <formula1>=IF(M268&lt;&gt;"",INDIRECT(VLOOKUP(M268,NgachLuongData,4,FALSE)),"")</formula1>
    </dataValidation>
    <dataValidation type="list" sqref="M269" xr:uid="{9B170B0B-B46F-473B-83F2-02E2952FF435}">
      <formula1>=IF(L269&lt;&gt;"",INDIRECT(VLOOKUP(L269,ThangLuongData,3,FALSE)),"")</formula1>
    </dataValidation>
    <dataValidation type="list" sqref="N269" xr:uid="{3339C598-BF32-46AF-9BD5-166F44C65415}">
      <formula1>=IF(M269&lt;&gt;"",INDIRECT(VLOOKUP(M269,NgachLuongData,4,FALSE)),"")</formula1>
    </dataValidation>
    <dataValidation type="list" sqref="M270" xr:uid="{49977F27-7D16-4428-9EF6-784E2C823611}">
      <formula1>=IF(L270&lt;&gt;"",INDIRECT(VLOOKUP(L270,ThangLuongData,3,FALSE)),"")</formula1>
    </dataValidation>
    <dataValidation type="list" sqref="N270" xr:uid="{9E62FB84-1F26-48C8-8CFA-EDF2155C533E}">
      <formula1>=IF(M270&lt;&gt;"",INDIRECT(VLOOKUP(M270,NgachLuongData,4,FALSE)),"")</formula1>
    </dataValidation>
    <dataValidation type="list" sqref="M271" xr:uid="{F422AD5D-A07B-48A6-9655-E0CB8C21DE61}">
      <formula1>=IF(L271&lt;&gt;"",INDIRECT(VLOOKUP(L271,ThangLuongData,3,FALSE)),"")</formula1>
    </dataValidation>
    <dataValidation type="list" sqref="N271" xr:uid="{BCCE251D-8A15-4F87-86F4-6BD0D5776900}">
      <formula1>=IF(M271&lt;&gt;"",INDIRECT(VLOOKUP(M271,NgachLuongData,4,FALSE)),"")</formula1>
    </dataValidation>
    <dataValidation type="list" sqref="M272" xr:uid="{98C567E7-D024-43B1-855C-141C91B123A5}">
      <formula1>=IF(L272&lt;&gt;"",INDIRECT(VLOOKUP(L272,ThangLuongData,3,FALSE)),"")</formula1>
    </dataValidation>
    <dataValidation type="list" sqref="N272" xr:uid="{C191D86D-A5FE-42A1-BF29-B88CE681C1A8}">
      <formula1>=IF(M272&lt;&gt;"",INDIRECT(VLOOKUP(M272,NgachLuongData,4,FALSE)),"")</formula1>
    </dataValidation>
    <dataValidation type="list" sqref="M273" xr:uid="{7D8FEF68-FC6C-4513-A620-6AD286CE1AF2}">
      <formula1>=IF(L273&lt;&gt;"",INDIRECT(VLOOKUP(L273,ThangLuongData,3,FALSE)),"")</formula1>
    </dataValidation>
    <dataValidation type="list" sqref="N273" xr:uid="{C3FA7652-1EE8-4985-91EA-1A6F14B261C9}">
      <formula1>=IF(M273&lt;&gt;"",INDIRECT(VLOOKUP(M273,NgachLuongData,4,FALSE)),"")</formula1>
    </dataValidation>
    <dataValidation type="list" sqref="M274" xr:uid="{A6273952-04B7-476B-9686-D27E870F456E}">
      <formula1>=IF(L274&lt;&gt;"",INDIRECT(VLOOKUP(L274,ThangLuongData,3,FALSE)),"")</formula1>
    </dataValidation>
    <dataValidation type="list" sqref="N274" xr:uid="{93DF3426-D0CE-4A17-B61F-D221C01CE5AF}">
      <formula1>=IF(M274&lt;&gt;"",INDIRECT(VLOOKUP(M274,NgachLuongData,4,FALSE)),"")</formula1>
    </dataValidation>
    <dataValidation type="list" sqref="M275" xr:uid="{75399C18-3CE8-45CB-8714-4A9CF0FE5437}">
      <formula1>=IF(L275&lt;&gt;"",INDIRECT(VLOOKUP(L275,ThangLuongData,3,FALSE)),"")</formula1>
    </dataValidation>
    <dataValidation type="list" sqref="N275" xr:uid="{EC2236C4-0C51-4AE1-AC4B-28CC8DF9BA66}">
      <formula1>=IF(M275&lt;&gt;"",INDIRECT(VLOOKUP(M275,NgachLuongData,4,FALSE)),"")</formula1>
    </dataValidation>
    <dataValidation type="list" sqref="M276" xr:uid="{DA27DC00-6560-43FF-88F3-DD0D097E15F1}">
      <formula1>=IF(L276&lt;&gt;"",INDIRECT(VLOOKUP(L276,ThangLuongData,3,FALSE)),"")</formula1>
    </dataValidation>
    <dataValidation type="list" sqref="N276" xr:uid="{9FFBA281-6A38-4A76-97B6-706467EC5A14}">
      <formula1>=IF(M276&lt;&gt;"",INDIRECT(VLOOKUP(M276,NgachLuongData,4,FALSE)),"")</formula1>
    </dataValidation>
    <dataValidation type="list" sqref="M277" xr:uid="{DC37A255-A2C6-4D87-BE72-22BD6B3768A6}">
      <formula1>=IF(L277&lt;&gt;"",INDIRECT(VLOOKUP(L277,ThangLuongData,3,FALSE)),"")</formula1>
    </dataValidation>
    <dataValidation type="list" sqref="N277" xr:uid="{B4B523D3-DA78-4172-82DC-DCA5AC1DECD3}">
      <formula1>=IF(M277&lt;&gt;"",INDIRECT(VLOOKUP(M277,NgachLuongData,4,FALSE)),"")</formula1>
    </dataValidation>
    <dataValidation type="list" sqref="M278" xr:uid="{F4637350-ABFA-45B6-8BAB-7C644A65CFBC}">
      <formula1>=IF(L278&lt;&gt;"",INDIRECT(VLOOKUP(L278,ThangLuongData,3,FALSE)),"")</formula1>
    </dataValidation>
    <dataValidation type="list" sqref="N278" xr:uid="{A42822AD-190F-4DF4-9137-8A3FFCF83389}">
      <formula1>=IF(M278&lt;&gt;"",INDIRECT(VLOOKUP(M278,NgachLuongData,4,FALSE)),"")</formula1>
    </dataValidation>
    <dataValidation type="list" sqref="M279" xr:uid="{5DA5A14D-628B-4BAE-A7D4-7498E17FF7CA}">
      <formula1>=IF(L279&lt;&gt;"",INDIRECT(VLOOKUP(L279,ThangLuongData,3,FALSE)),"")</formula1>
    </dataValidation>
    <dataValidation type="list" sqref="N279" xr:uid="{9E66B123-6D0F-458A-A1EE-368DF84FCC87}">
      <formula1>=IF(M279&lt;&gt;"",INDIRECT(VLOOKUP(M279,NgachLuongData,4,FALSE)),"")</formula1>
    </dataValidation>
    <dataValidation type="list" sqref="M280" xr:uid="{4BB4D065-9684-4C66-8ABB-8C89C1FEB740}">
      <formula1>=IF(L280&lt;&gt;"",INDIRECT(VLOOKUP(L280,ThangLuongData,3,FALSE)),"")</formula1>
    </dataValidation>
    <dataValidation type="list" sqref="N280" xr:uid="{81C346F3-9439-4A05-BDF4-2FB04E694C13}">
      <formula1>=IF(M280&lt;&gt;"",INDIRECT(VLOOKUP(M280,NgachLuongData,4,FALSE)),"")</formula1>
    </dataValidation>
    <dataValidation type="list" sqref="M281" xr:uid="{BDC333F5-DCAB-4D8C-A95F-5C9E79C7A994}">
      <formula1>=IF(L281&lt;&gt;"",INDIRECT(VLOOKUP(L281,ThangLuongData,3,FALSE)),"")</formula1>
    </dataValidation>
    <dataValidation type="list" sqref="N281" xr:uid="{B2A30475-EA64-470D-98E2-68D51B6E2C16}">
      <formula1>=IF(M281&lt;&gt;"",INDIRECT(VLOOKUP(M281,NgachLuongData,4,FALSE)),"")</formula1>
    </dataValidation>
    <dataValidation type="list" sqref="M282" xr:uid="{0C5E983F-E7AD-4A1A-9D67-5FA03E742B72}">
      <formula1>=IF(L282&lt;&gt;"",INDIRECT(VLOOKUP(L282,ThangLuongData,3,FALSE)),"")</formula1>
    </dataValidation>
    <dataValidation type="list" sqref="N282" xr:uid="{3092DD07-4232-40AD-9B6E-F99D593AA7DB}">
      <formula1>=IF(M282&lt;&gt;"",INDIRECT(VLOOKUP(M282,NgachLuongData,4,FALSE)),"")</formula1>
    </dataValidation>
    <dataValidation type="list" sqref="M283" xr:uid="{F254B12A-C5C0-4177-AB0F-BCCD9537F8AE}">
      <formula1>=IF(L283&lt;&gt;"",INDIRECT(VLOOKUP(L283,ThangLuongData,3,FALSE)),"")</formula1>
    </dataValidation>
    <dataValidation type="list" sqref="N283" xr:uid="{518B767C-A5CD-40D3-A54F-A2266560F67D}">
      <formula1>=IF(M283&lt;&gt;"",INDIRECT(VLOOKUP(M283,NgachLuongData,4,FALSE)),"")</formula1>
    </dataValidation>
    <dataValidation type="list" sqref="M284" xr:uid="{3F828326-24EF-4900-9A06-64900EA10CE9}">
      <formula1>=IF(L284&lt;&gt;"",INDIRECT(VLOOKUP(L284,ThangLuongData,3,FALSE)),"")</formula1>
    </dataValidation>
    <dataValidation type="list" sqref="N284" xr:uid="{840BB3D0-BE99-4282-8349-17606B72A4AD}">
      <formula1>=IF(M284&lt;&gt;"",INDIRECT(VLOOKUP(M284,NgachLuongData,4,FALSE)),"")</formula1>
    </dataValidation>
    <dataValidation type="list" sqref="M285" xr:uid="{A8106A18-745F-4D98-B259-63ACA5AB7E37}">
      <formula1>=IF(L285&lt;&gt;"",INDIRECT(VLOOKUP(L285,ThangLuongData,3,FALSE)),"")</formula1>
    </dataValidation>
    <dataValidation type="list" sqref="N285" xr:uid="{86666ACD-058C-4D66-99F5-849039836668}">
      <formula1>=IF(M285&lt;&gt;"",INDIRECT(VLOOKUP(M285,NgachLuongData,4,FALSE)),"")</formula1>
    </dataValidation>
    <dataValidation type="list" sqref="M286" xr:uid="{A9D93B17-EFD7-4E67-93C2-5278206685DD}">
      <formula1>=IF(L286&lt;&gt;"",INDIRECT(VLOOKUP(L286,ThangLuongData,3,FALSE)),"")</formula1>
    </dataValidation>
    <dataValidation type="list" sqref="N286" xr:uid="{6E26A6F0-49AA-48A0-9378-776661B174FA}">
      <formula1>=IF(M286&lt;&gt;"",INDIRECT(VLOOKUP(M286,NgachLuongData,4,FALSE)),"")</formula1>
    </dataValidation>
    <dataValidation type="list" sqref="M287" xr:uid="{EC5DB2BF-8869-460E-8244-8DFB6211EEA7}">
      <formula1>=IF(L287&lt;&gt;"",INDIRECT(VLOOKUP(L287,ThangLuongData,3,FALSE)),"")</formula1>
    </dataValidation>
    <dataValidation type="list" sqref="N287" xr:uid="{9F291DE4-7833-4A46-AB80-EA21BB85095A}">
      <formula1>=IF(M287&lt;&gt;"",INDIRECT(VLOOKUP(M287,NgachLuongData,4,FALSE)),"")</formula1>
    </dataValidation>
    <dataValidation type="list" sqref="M288" xr:uid="{A1B53276-4437-48AF-99FE-E20E89FB00F0}">
      <formula1>=IF(L288&lt;&gt;"",INDIRECT(VLOOKUP(L288,ThangLuongData,3,FALSE)),"")</formula1>
    </dataValidation>
    <dataValidation type="list" sqref="N288" xr:uid="{11D22194-8113-4504-97B3-09AEF65EBA3A}">
      <formula1>=IF(M288&lt;&gt;"",INDIRECT(VLOOKUP(M288,NgachLuongData,4,FALSE)),"")</formula1>
    </dataValidation>
    <dataValidation type="list" sqref="M289" xr:uid="{8D66F4F6-FF84-436E-9CF3-B5AFCC4EEF77}">
      <formula1>=IF(L289&lt;&gt;"",INDIRECT(VLOOKUP(L289,ThangLuongData,3,FALSE)),"")</formula1>
    </dataValidation>
    <dataValidation type="list" sqref="N289" xr:uid="{BFF2A06E-5B02-4C14-9C3A-8AD589D70C69}">
      <formula1>=IF(M289&lt;&gt;"",INDIRECT(VLOOKUP(M289,NgachLuongData,4,FALSE)),"")</formula1>
    </dataValidation>
    <dataValidation type="list" sqref="M290" xr:uid="{607A7F58-2790-4340-B996-D2D1F839E70D}">
      <formula1>=IF(L290&lt;&gt;"",INDIRECT(VLOOKUP(L290,ThangLuongData,3,FALSE)),"")</formula1>
    </dataValidation>
    <dataValidation type="list" sqref="N290" xr:uid="{C7FF45BC-27C7-451E-9E1F-5465050676EE}">
      <formula1>=IF(M290&lt;&gt;"",INDIRECT(VLOOKUP(M290,NgachLuongData,4,FALSE)),"")</formula1>
    </dataValidation>
    <dataValidation type="list" sqref="M291" xr:uid="{460FC955-0DB3-483A-B9A6-68E167959C2C}">
      <formula1>=IF(L291&lt;&gt;"",INDIRECT(VLOOKUP(L291,ThangLuongData,3,FALSE)),"")</formula1>
    </dataValidation>
    <dataValidation type="list" sqref="N291" xr:uid="{1731FA47-E648-445E-97DD-B71CF454B8A6}">
      <formula1>=IF(M291&lt;&gt;"",INDIRECT(VLOOKUP(M291,NgachLuongData,4,FALSE)),"")</formula1>
    </dataValidation>
    <dataValidation type="list" sqref="M292" xr:uid="{43005CE4-A295-461A-8520-BC6189C73C69}">
      <formula1>=IF(L292&lt;&gt;"",INDIRECT(VLOOKUP(L292,ThangLuongData,3,FALSE)),"")</formula1>
    </dataValidation>
    <dataValidation type="list" sqref="N292" xr:uid="{EE7FCFB4-3CFF-417E-959F-7765AF96C83D}">
      <formula1>=IF(M292&lt;&gt;"",INDIRECT(VLOOKUP(M292,NgachLuongData,4,FALSE)),"")</formula1>
    </dataValidation>
    <dataValidation type="list" sqref="M293" xr:uid="{5B06E7BD-9A8C-4E8C-B05B-17B6A10FFAE1}">
      <formula1>=IF(L293&lt;&gt;"",INDIRECT(VLOOKUP(L293,ThangLuongData,3,FALSE)),"")</formula1>
    </dataValidation>
    <dataValidation type="list" sqref="N293" xr:uid="{0F134DA8-44A6-403C-8BC8-862EAF58F492}">
      <formula1>=IF(M293&lt;&gt;"",INDIRECT(VLOOKUP(M293,NgachLuongData,4,FALSE)),"")</formula1>
    </dataValidation>
    <dataValidation type="list" sqref="M294" xr:uid="{6FFAE1D1-B0B2-4471-8ACC-5C9E41815FE1}">
      <formula1>=IF(L294&lt;&gt;"",INDIRECT(VLOOKUP(L294,ThangLuongData,3,FALSE)),"")</formula1>
    </dataValidation>
    <dataValidation type="list" sqref="N294" xr:uid="{E66E5FA2-E9ED-4557-90EF-0207CED8CCE5}">
      <formula1>=IF(M294&lt;&gt;"",INDIRECT(VLOOKUP(M294,NgachLuongData,4,FALSE)),"")</formula1>
    </dataValidation>
    <dataValidation type="list" sqref="M295" xr:uid="{D510B8A8-5D3A-4C83-8B02-712FBAA5AEB1}">
      <formula1>=IF(L295&lt;&gt;"",INDIRECT(VLOOKUP(L295,ThangLuongData,3,FALSE)),"")</formula1>
    </dataValidation>
    <dataValidation type="list" sqref="N295" xr:uid="{8C723048-9B37-485A-93BD-8F7761952E0D}">
      <formula1>=IF(M295&lt;&gt;"",INDIRECT(VLOOKUP(M295,NgachLuongData,4,FALSE)),"")</formula1>
    </dataValidation>
    <dataValidation type="list" sqref="M296" xr:uid="{5B6C2E55-FABA-43A3-B9EB-74D4BC630CBA}">
      <formula1>=IF(L296&lt;&gt;"",INDIRECT(VLOOKUP(L296,ThangLuongData,3,FALSE)),"")</formula1>
    </dataValidation>
    <dataValidation type="list" sqref="N296" xr:uid="{51241140-5AA3-4DD5-B364-44F489585133}">
      <formula1>=IF(M296&lt;&gt;"",INDIRECT(VLOOKUP(M296,NgachLuongData,4,FALSE)),"")</formula1>
    </dataValidation>
    <dataValidation type="list" sqref="M297" xr:uid="{E59D4E8A-530D-4026-9B80-98EFFF7036E0}">
      <formula1>=IF(L297&lt;&gt;"",INDIRECT(VLOOKUP(L297,ThangLuongData,3,FALSE)),"")</formula1>
    </dataValidation>
    <dataValidation type="list" sqref="N297" xr:uid="{90667F19-94FF-4D28-9D3C-99B2458BD1C0}">
      <formula1>=IF(M297&lt;&gt;"",INDIRECT(VLOOKUP(M297,NgachLuongData,4,FALSE)),"")</formula1>
    </dataValidation>
    <dataValidation type="list" sqref="M298" xr:uid="{B2CE0DD2-2C43-4420-9B92-AF67A87F5AFE}">
      <formula1>=IF(L298&lt;&gt;"",INDIRECT(VLOOKUP(L298,ThangLuongData,3,FALSE)),"")</formula1>
    </dataValidation>
    <dataValidation type="list" sqref="N298" xr:uid="{BAC76D63-1148-488B-A78D-B95F74C9C662}">
      <formula1>=IF(M298&lt;&gt;"",INDIRECT(VLOOKUP(M298,NgachLuongData,4,FALSE)),"")</formula1>
    </dataValidation>
    <dataValidation type="list" sqref="M299" xr:uid="{9543A070-871E-4924-993F-B0CB955231EF}">
      <formula1>=IF(L299&lt;&gt;"",INDIRECT(VLOOKUP(L299,ThangLuongData,3,FALSE)),"")</formula1>
    </dataValidation>
    <dataValidation type="list" sqref="N299" xr:uid="{CF867515-5652-4D6F-906E-9FB7F9EAB1AC}">
      <formula1>=IF(M299&lt;&gt;"",INDIRECT(VLOOKUP(M299,NgachLuongData,4,FALSE)),"")</formula1>
    </dataValidation>
    <dataValidation type="list" sqref="M300" xr:uid="{1EF331BD-F302-4B48-8C33-86384B8302B6}">
      <formula1>=IF(L300&lt;&gt;"",INDIRECT(VLOOKUP(L300,ThangLuongData,3,FALSE)),"")</formula1>
    </dataValidation>
    <dataValidation type="list" sqref="N300" xr:uid="{914C78F8-5005-408B-A7D0-7C43BBE9657B}">
      <formula1>=IF(M300&lt;&gt;"",INDIRECT(VLOOKUP(M300,NgachLuongData,4,FALSE)),"")</formula1>
    </dataValidation>
    <dataValidation type="list" sqref="M301" xr:uid="{3471FF1D-E984-44D4-A845-43E409CC5340}">
      <formula1>=IF(L301&lt;&gt;"",INDIRECT(VLOOKUP(L301,ThangLuongData,3,FALSE)),"")</formula1>
    </dataValidation>
    <dataValidation type="list" sqref="N301" xr:uid="{906C1C36-CF0E-4507-9DD1-F661903DD6F5}">
      <formula1>=IF(M301&lt;&gt;"",INDIRECT(VLOOKUP(M301,NgachLuongData,4,FALSE)),"")</formula1>
    </dataValidation>
    <dataValidation type="list" sqref="M302" xr:uid="{FFDF1C75-FCCB-42B4-BE98-D00DCDE1734D}">
      <formula1>=IF(L302&lt;&gt;"",INDIRECT(VLOOKUP(L302,ThangLuongData,3,FALSE)),"")</formula1>
    </dataValidation>
    <dataValidation type="list" sqref="N302" xr:uid="{6CC128C8-19EF-47B3-B5F3-B3D3A303686F}">
      <formula1>=IF(M302&lt;&gt;"",INDIRECT(VLOOKUP(M302,NgachLuongData,4,FALSE)),"")</formula1>
    </dataValidation>
    <dataValidation type="list" sqref="M303" xr:uid="{BFFB930A-09C2-406C-8E90-01B3185C081C}">
      <formula1>=IF(L303&lt;&gt;"",INDIRECT(VLOOKUP(L303,ThangLuongData,3,FALSE)),"")</formula1>
    </dataValidation>
    <dataValidation type="list" sqref="N303" xr:uid="{DCC2B5F9-DB24-4280-9121-E3DBCD218B45}">
      <formula1>=IF(M303&lt;&gt;"",INDIRECT(VLOOKUP(M303,NgachLuongData,4,FALSE)),"")</formula1>
    </dataValidation>
    <dataValidation type="list" sqref="M304" xr:uid="{749A4D18-A8BD-4A66-A04A-ED49E4AF7D91}">
      <formula1>=IF(L304&lt;&gt;"",INDIRECT(VLOOKUP(L304,ThangLuongData,3,FALSE)),"")</formula1>
    </dataValidation>
    <dataValidation type="list" sqref="N304" xr:uid="{30C87FF7-BB72-487A-A461-9872F7021CF6}">
      <formula1>=IF(M304&lt;&gt;"",INDIRECT(VLOOKUP(M304,NgachLuongData,4,FALSE)),"")</formula1>
    </dataValidation>
    <dataValidation type="list" sqref="M305" xr:uid="{B3D60FF7-3D71-45B8-8A4A-E9D74A2A7C8B}">
      <formula1>=IF(L305&lt;&gt;"",INDIRECT(VLOOKUP(L305,ThangLuongData,3,FALSE)),"")</formula1>
    </dataValidation>
    <dataValidation type="list" sqref="N305" xr:uid="{4F1CE860-C067-45ED-8922-4D7604D7B481}">
      <formula1>=IF(M305&lt;&gt;"",INDIRECT(VLOOKUP(M305,NgachLuongData,4,FALSE)),"")</formula1>
    </dataValidation>
    <dataValidation type="list" sqref="M306" xr:uid="{58D239F9-726E-4412-8906-60F511710A0F}">
      <formula1>=IF(L306&lt;&gt;"",INDIRECT(VLOOKUP(L306,ThangLuongData,3,FALSE)),"")</formula1>
    </dataValidation>
    <dataValidation type="list" sqref="N306" xr:uid="{D550FBDB-B488-42C8-B73F-FC8A665C94B7}">
      <formula1>=IF(M306&lt;&gt;"",INDIRECT(VLOOKUP(M306,NgachLuongData,4,FALSE)),"")</formula1>
    </dataValidation>
    <dataValidation type="list" sqref="M307" xr:uid="{53DDB99A-5679-43C3-B075-041C04CA07D6}">
      <formula1>=IF(L307&lt;&gt;"",INDIRECT(VLOOKUP(L307,ThangLuongData,3,FALSE)),"")</formula1>
    </dataValidation>
    <dataValidation type="list" sqref="N307" xr:uid="{46698DE4-0867-410E-8607-CD5569BA8D02}">
      <formula1>=IF(M307&lt;&gt;"",INDIRECT(VLOOKUP(M307,NgachLuongData,4,FALSE)),"")</formula1>
    </dataValidation>
    <dataValidation type="list" sqref="M308" xr:uid="{834B5579-3A06-4EDB-BB2E-10680A2EADBB}">
      <formula1>=IF(L308&lt;&gt;"",INDIRECT(VLOOKUP(L308,ThangLuongData,3,FALSE)),"")</formula1>
    </dataValidation>
    <dataValidation type="list" sqref="N308" xr:uid="{22ED8C74-60D4-455B-BC5A-E718F8E1188D}">
      <formula1>=IF(M308&lt;&gt;"",INDIRECT(VLOOKUP(M308,NgachLuongData,4,FALSE)),"")</formula1>
    </dataValidation>
    <dataValidation type="list" sqref="M309" xr:uid="{E02EC392-912C-4DD0-922C-51C690446684}">
      <formula1>=IF(L309&lt;&gt;"",INDIRECT(VLOOKUP(L309,ThangLuongData,3,FALSE)),"")</formula1>
    </dataValidation>
    <dataValidation type="list" sqref="N309" xr:uid="{0B6FE01E-16DE-4664-87EE-696B2F051BD0}">
      <formula1>=IF(M309&lt;&gt;"",INDIRECT(VLOOKUP(M309,NgachLuongData,4,FALSE)),"")</formula1>
    </dataValidation>
    <dataValidation type="list" sqref="M310" xr:uid="{BABFC61A-82D5-4B63-998C-B16797E53DE2}">
      <formula1>=IF(L310&lt;&gt;"",INDIRECT(VLOOKUP(L310,ThangLuongData,3,FALSE)),"")</formula1>
    </dataValidation>
    <dataValidation type="list" sqref="N310" xr:uid="{2677BAAE-A51E-4977-A138-42D6E5B9B161}">
      <formula1>=IF(M310&lt;&gt;"",INDIRECT(VLOOKUP(M310,NgachLuongData,4,FALSE)),"")</formula1>
    </dataValidation>
    <dataValidation type="list" sqref="M311" xr:uid="{97EE2B59-CCCD-4A52-86D8-5BB1437E077F}">
      <formula1>=IF(L311&lt;&gt;"",INDIRECT(VLOOKUP(L311,ThangLuongData,3,FALSE)),"")</formula1>
    </dataValidation>
    <dataValidation type="list" sqref="N311" xr:uid="{FC6F14CC-A9A9-4004-9968-FB51E73F67B1}">
      <formula1>=IF(M311&lt;&gt;"",INDIRECT(VLOOKUP(M311,NgachLuongData,4,FALSE)),"")</formula1>
    </dataValidation>
    <dataValidation type="list" sqref="M312" xr:uid="{D368A4DF-7574-42C6-8D48-526AFBA5E961}">
      <formula1>=IF(L312&lt;&gt;"",INDIRECT(VLOOKUP(L312,ThangLuongData,3,FALSE)),"")</formula1>
    </dataValidation>
    <dataValidation type="list" sqref="N312" xr:uid="{F5DE4A1B-EFE4-4901-9AC0-CD20EE0B5D15}">
      <formula1>=IF(M312&lt;&gt;"",INDIRECT(VLOOKUP(M312,NgachLuongData,4,FALSE)),"")</formula1>
    </dataValidation>
    <dataValidation type="list" sqref="M313" xr:uid="{6283C805-51E4-49B7-A274-1B8A229D3FDC}">
      <formula1>=IF(L313&lt;&gt;"",INDIRECT(VLOOKUP(L313,ThangLuongData,3,FALSE)),"")</formula1>
    </dataValidation>
    <dataValidation type="list" sqref="N313" xr:uid="{1D08BCD1-8F22-448E-89B0-06302C1C31AA}">
      <formula1>=IF(M313&lt;&gt;"",INDIRECT(VLOOKUP(M313,NgachLuongData,4,FALSE)),"")</formula1>
    </dataValidation>
    <dataValidation type="list" sqref="M314" xr:uid="{0E08D21B-E2EB-401F-8786-E522211B6A73}">
      <formula1>=IF(L314&lt;&gt;"",INDIRECT(VLOOKUP(L314,ThangLuongData,3,FALSE)),"")</formula1>
    </dataValidation>
    <dataValidation type="list" sqref="N314" xr:uid="{139F657B-9CA9-486D-88B4-02E80386C5E2}">
      <formula1>=IF(M314&lt;&gt;"",INDIRECT(VLOOKUP(M314,NgachLuongData,4,FALSE)),"")</formula1>
    </dataValidation>
    <dataValidation type="list" sqref="M315" xr:uid="{CC016894-0BBC-4E8E-B8EF-9788DEE7CEAF}">
      <formula1>=IF(L315&lt;&gt;"",INDIRECT(VLOOKUP(L315,ThangLuongData,3,FALSE)),"")</formula1>
    </dataValidation>
    <dataValidation type="list" sqref="N315" xr:uid="{12AF3D80-EC3F-4F9D-A2D6-76CF7F2A9077}">
      <formula1>=IF(M315&lt;&gt;"",INDIRECT(VLOOKUP(M315,NgachLuongData,4,FALSE)),"")</formula1>
    </dataValidation>
    <dataValidation type="list" sqref="M316" xr:uid="{6F22DD64-F798-44CA-8B7C-68B6ADA937A4}">
      <formula1>=IF(L316&lt;&gt;"",INDIRECT(VLOOKUP(L316,ThangLuongData,3,FALSE)),"")</formula1>
    </dataValidation>
    <dataValidation type="list" sqref="N316" xr:uid="{7412D3A3-8EA4-438F-BF71-F9DEFF7DBA87}">
      <formula1>=IF(M316&lt;&gt;"",INDIRECT(VLOOKUP(M316,NgachLuongData,4,FALSE)),"")</formula1>
    </dataValidation>
    <dataValidation type="list" sqref="M317" xr:uid="{E8103795-3BE6-47E2-90EB-B431CE1C71C7}">
      <formula1>=IF(L317&lt;&gt;"",INDIRECT(VLOOKUP(L317,ThangLuongData,3,FALSE)),"")</formula1>
    </dataValidation>
    <dataValidation type="list" sqref="N317" xr:uid="{AC56DC6B-76FA-4FD3-8820-99E34FD94C95}">
      <formula1>=IF(M317&lt;&gt;"",INDIRECT(VLOOKUP(M317,NgachLuongData,4,FALSE)),"")</formula1>
    </dataValidation>
    <dataValidation type="list" sqref="M318" xr:uid="{C06C9AF6-8F67-4593-8E1F-10BB5C864CAC}">
      <formula1>=IF(L318&lt;&gt;"",INDIRECT(VLOOKUP(L318,ThangLuongData,3,FALSE)),"")</formula1>
    </dataValidation>
    <dataValidation type="list" sqref="N318" xr:uid="{E6068998-5659-4441-9C6A-5DC82155223A}">
      <formula1>=IF(M318&lt;&gt;"",INDIRECT(VLOOKUP(M318,NgachLuongData,4,FALSE)),"")</formula1>
    </dataValidation>
    <dataValidation type="list" sqref="M319" xr:uid="{5E3A1D79-DB4E-481E-96F7-570AFFFC1CE8}">
      <formula1>=IF(L319&lt;&gt;"",INDIRECT(VLOOKUP(L319,ThangLuongData,3,FALSE)),"")</formula1>
    </dataValidation>
    <dataValidation type="list" sqref="N319" xr:uid="{B6045353-473E-48F1-AF6A-1E7D6D9528A8}">
      <formula1>=IF(M319&lt;&gt;"",INDIRECT(VLOOKUP(M319,NgachLuongData,4,FALSE)),"")</formula1>
    </dataValidation>
    <dataValidation type="list" sqref="M320" xr:uid="{F51D6901-CEE1-4C61-89E6-DF4271E369A0}">
      <formula1>=IF(L320&lt;&gt;"",INDIRECT(VLOOKUP(L320,ThangLuongData,3,FALSE)),"")</formula1>
    </dataValidation>
    <dataValidation type="list" sqref="N320" xr:uid="{27ADEB36-E4B4-4383-8CC7-E12D34805262}">
      <formula1>=IF(M320&lt;&gt;"",INDIRECT(VLOOKUP(M320,NgachLuongData,4,FALSE)),"")</formula1>
    </dataValidation>
    <dataValidation type="list" sqref="M321" xr:uid="{2EDEE83E-B521-4B8E-90D1-4C58A7590AC9}">
      <formula1>=IF(L321&lt;&gt;"",INDIRECT(VLOOKUP(L321,ThangLuongData,3,FALSE)),"")</formula1>
    </dataValidation>
    <dataValidation type="list" sqref="N321" xr:uid="{DB1D14FC-C6A0-45AB-8CE7-2FED854A7C59}">
      <formula1>=IF(M321&lt;&gt;"",INDIRECT(VLOOKUP(M321,NgachLuongData,4,FALSE)),"")</formula1>
    </dataValidation>
    <dataValidation type="list" sqref="M322" xr:uid="{7225A48B-F54F-47F3-B07E-FF526EDF42EE}">
      <formula1>=IF(L322&lt;&gt;"",INDIRECT(VLOOKUP(L322,ThangLuongData,3,FALSE)),"")</formula1>
    </dataValidation>
    <dataValidation type="list" sqref="N322" xr:uid="{A3795398-EBD4-4FFD-9A57-2D387F54A3B9}">
      <formula1>=IF(M322&lt;&gt;"",INDIRECT(VLOOKUP(M322,NgachLuongData,4,FALSE)),"")</formula1>
    </dataValidation>
    <dataValidation type="list" sqref="M323" xr:uid="{CFC3EBA3-1360-4D84-AB16-31292853E56C}">
      <formula1>=IF(L323&lt;&gt;"",INDIRECT(VLOOKUP(L323,ThangLuongData,3,FALSE)),"")</formula1>
    </dataValidation>
    <dataValidation type="list" sqref="N323" xr:uid="{B0B387DA-B995-41F0-B8C8-5AE935E1E747}">
      <formula1>=IF(M323&lt;&gt;"",INDIRECT(VLOOKUP(M323,NgachLuongData,4,FALSE)),"")</formula1>
    </dataValidation>
    <dataValidation type="list" sqref="M324" xr:uid="{DDAE98C8-3E7D-4263-8514-000FC885149E}">
      <formula1>=IF(L324&lt;&gt;"",INDIRECT(VLOOKUP(L324,ThangLuongData,3,FALSE)),"")</formula1>
    </dataValidation>
    <dataValidation type="list" sqref="N324" xr:uid="{7FCA4D31-2B14-4429-B85B-67EF3165C2A7}">
      <formula1>=IF(M324&lt;&gt;"",INDIRECT(VLOOKUP(M324,NgachLuongData,4,FALSE)),"")</formula1>
    </dataValidation>
    <dataValidation type="list" sqref="M325" xr:uid="{62E1189F-D1F8-4902-9080-37B895E48853}">
      <formula1>=IF(L325&lt;&gt;"",INDIRECT(VLOOKUP(L325,ThangLuongData,3,FALSE)),"")</formula1>
    </dataValidation>
    <dataValidation type="list" sqref="N325" xr:uid="{E9D617BE-F55A-4249-848B-361D79A0371D}">
      <formula1>=IF(M325&lt;&gt;"",INDIRECT(VLOOKUP(M325,NgachLuongData,4,FALSE)),"")</formula1>
    </dataValidation>
    <dataValidation type="list" sqref="M326" xr:uid="{AC5A73B0-23AF-482E-8ECA-CBCBE4A99452}">
      <formula1>=IF(L326&lt;&gt;"",INDIRECT(VLOOKUP(L326,ThangLuongData,3,FALSE)),"")</formula1>
    </dataValidation>
    <dataValidation type="list" sqref="N326" xr:uid="{B03BB50A-F5D9-46EC-944E-3677F71D62B6}">
      <formula1>=IF(M326&lt;&gt;"",INDIRECT(VLOOKUP(M326,NgachLuongData,4,FALSE)),"")</formula1>
    </dataValidation>
    <dataValidation type="list" sqref="M327" xr:uid="{5B71B5BB-9520-4179-BD30-04D488A847B8}">
      <formula1>=IF(L327&lt;&gt;"",INDIRECT(VLOOKUP(L327,ThangLuongData,3,FALSE)),"")</formula1>
    </dataValidation>
    <dataValidation type="list" sqref="N327" xr:uid="{AB1A32FE-9980-4234-AD3D-4B5BC1A8F679}">
      <formula1>=IF(M327&lt;&gt;"",INDIRECT(VLOOKUP(M327,NgachLuongData,4,FALSE)),"")</formula1>
    </dataValidation>
    <dataValidation type="list" sqref="M328" xr:uid="{97849C6F-EC5E-4603-ACC8-C1A8A69CF00D}">
      <formula1>=IF(L328&lt;&gt;"",INDIRECT(VLOOKUP(L328,ThangLuongData,3,FALSE)),"")</formula1>
    </dataValidation>
    <dataValidation type="list" sqref="N328" xr:uid="{797EDEC0-F931-4A79-8226-DB7E628015E6}">
      <formula1>=IF(M328&lt;&gt;"",INDIRECT(VLOOKUP(M328,NgachLuongData,4,FALSE)),"")</formula1>
    </dataValidation>
    <dataValidation type="list" sqref="M329" xr:uid="{01D89026-316F-4538-854A-7241F0651E2F}">
      <formula1>=IF(L329&lt;&gt;"",INDIRECT(VLOOKUP(L329,ThangLuongData,3,FALSE)),"")</formula1>
    </dataValidation>
    <dataValidation type="list" sqref="N329" xr:uid="{0462A21D-93F5-48D7-9B23-39C3AC7A9ED5}">
      <formula1>=IF(M329&lt;&gt;"",INDIRECT(VLOOKUP(M329,NgachLuongData,4,FALSE)),"")</formula1>
    </dataValidation>
    <dataValidation type="list" sqref="M330" xr:uid="{940673B0-3118-4B02-AF17-EC06A669D8C1}">
      <formula1>=IF(L330&lt;&gt;"",INDIRECT(VLOOKUP(L330,ThangLuongData,3,FALSE)),"")</formula1>
    </dataValidation>
    <dataValidation type="list" sqref="N330" xr:uid="{0B9E4835-CA89-4FED-9CAD-C10315E9C801}">
      <formula1>=IF(M330&lt;&gt;"",INDIRECT(VLOOKUP(M330,NgachLuongData,4,FALSE)),"")</formula1>
    </dataValidation>
    <dataValidation type="list" sqref="M331" xr:uid="{8DF12241-70E2-4508-A3C8-EC9DF861CFED}">
      <formula1>=IF(L331&lt;&gt;"",INDIRECT(VLOOKUP(L331,ThangLuongData,3,FALSE)),"")</formula1>
    </dataValidation>
    <dataValidation type="list" sqref="N331" xr:uid="{1BE8DA61-BEB9-4C57-8EA9-33787A66C260}">
      <formula1>=IF(M331&lt;&gt;"",INDIRECT(VLOOKUP(M331,NgachLuongData,4,FALSE)),"")</formula1>
    </dataValidation>
    <dataValidation type="list" sqref="M332" xr:uid="{EA78BD88-31CE-41D1-9454-30F18CBAEC8E}">
      <formula1>=IF(L332&lt;&gt;"",INDIRECT(VLOOKUP(L332,ThangLuongData,3,FALSE)),"")</formula1>
    </dataValidation>
    <dataValidation type="list" sqref="N332" xr:uid="{4EAF060D-3C26-43EF-A12C-A8A5370EA66F}">
      <formula1>=IF(M332&lt;&gt;"",INDIRECT(VLOOKUP(M332,NgachLuongData,4,FALSE)),"")</formula1>
    </dataValidation>
    <dataValidation type="list" sqref="M333" xr:uid="{6D442EF9-B52C-4436-8D6A-A4162D20DCC6}">
      <formula1>=IF(L333&lt;&gt;"",INDIRECT(VLOOKUP(L333,ThangLuongData,3,FALSE)),"")</formula1>
    </dataValidation>
    <dataValidation type="list" sqref="N333" xr:uid="{AB6F59F9-386A-4683-B5AC-1E1351E35E86}">
      <formula1>=IF(M333&lt;&gt;"",INDIRECT(VLOOKUP(M333,NgachLuongData,4,FALSE)),"")</formula1>
    </dataValidation>
    <dataValidation type="list" sqref="M334" xr:uid="{FF3721BE-4F46-4262-9866-95877D36997E}">
      <formula1>=IF(L334&lt;&gt;"",INDIRECT(VLOOKUP(L334,ThangLuongData,3,FALSE)),"")</formula1>
    </dataValidation>
    <dataValidation type="list" sqref="N334" xr:uid="{67733296-CFE0-48CB-8B9F-533804AC2B64}">
      <formula1>=IF(M334&lt;&gt;"",INDIRECT(VLOOKUP(M334,NgachLuongData,4,FALSE)),"")</formula1>
    </dataValidation>
    <dataValidation type="list" sqref="M335" xr:uid="{51B01C91-A1BA-4A16-A04D-FBFE5A9534D5}">
      <formula1>=IF(L335&lt;&gt;"",INDIRECT(VLOOKUP(L335,ThangLuongData,3,FALSE)),"")</formula1>
    </dataValidation>
    <dataValidation type="list" sqref="N335" xr:uid="{0B172E30-140B-437A-A159-9FF9AD919FE3}">
      <formula1>=IF(M335&lt;&gt;"",INDIRECT(VLOOKUP(M335,NgachLuongData,4,FALSE)),"")</formula1>
    </dataValidation>
    <dataValidation type="list" sqref="M336" xr:uid="{616BC083-368A-47C0-AE8C-1750CD143D82}">
      <formula1>=IF(L336&lt;&gt;"",INDIRECT(VLOOKUP(L336,ThangLuongData,3,FALSE)),"")</formula1>
    </dataValidation>
    <dataValidation type="list" sqref="N336" xr:uid="{F76D095E-B603-45EC-A580-C186CF37E76D}">
      <formula1>=IF(M336&lt;&gt;"",INDIRECT(VLOOKUP(M336,NgachLuongData,4,FALSE)),"")</formula1>
    </dataValidation>
    <dataValidation type="list" sqref="M337" xr:uid="{A95DD453-07FC-45C8-8107-4281E1F014F5}">
      <formula1>=IF(L337&lt;&gt;"",INDIRECT(VLOOKUP(L337,ThangLuongData,3,FALSE)),"")</formula1>
    </dataValidation>
    <dataValidation type="list" sqref="N337" xr:uid="{D222C533-5A76-4F00-976A-E1470E580E78}">
      <formula1>=IF(M337&lt;&gt;"",INDIRECT(VLOOKUP(M337,NgachLuongData,4,FALSE)),"")</formula1>
    </dataValidation>
    <dataValidation type="list" sqref="M338" xr:uid="{CD6A6458-BC38-4CB3-A6C1-CE480404C4A1}">
      <formula1>=IF(L338&lt;&gt;"",INDIRECT(VLOOKUP(L338,ThangLuongData,3,FALSE)),"")</formula1>
    </dataValidation>
    <dataValidation type="list" sqref="N338" xr:uid="{2B4DFA9F-A8D7-43D3-AD83-948FEE085596}">
      <formula1>=IF(M338&lt;&gt;"",INDIRECT(VLOOKUP(M338,NgachLuongData,4,FALSE)),"")</formula1>
    </dataValidation>
    <dataValidation type="list" sqref="M339" xr:uid="{C569992A-D2C0-4306-BC43-B1175E2C65CE}">
      <formula1>=IF(L339&lt;&gt;"",INDIRECT(VLOOKUP(L339,ThangLuongData,3,FALSE)),"")</formula1>
    </dataValidation>
    <dataValidation type="list" sqref="N339" xr:uid="{55C96140-2055-44C1-AE68-6822D32B24D8}">
      <formula1>=IF(M339&lt;&gt;"",INDIRECT(VLOOKUP(M339,NgachLuongData,4,FALSE)),"")</formula1>
    </dataValidation>
    <dataValidation type="list" sqref="M340" xr:uid="{601BA6A6-6109-468F-A7C4-41A5E3FEADD8}">
      <formula1>=IF(L340&lt;&gt;"",INDIRECT(VLOOKUP(L340,ThangLuongData,3,FALSE)),"")</formula1>
    </dataValidation>
    <dataValidation type="list" sqref="N340" xr:uid="{BC5E0913-04A7-4BA5-9DDA-67F230D9F464}">
      <formula1>=IF(M340&lt;&gt;"",INDIRECT(VLOOKUP(M340,NgachLuongData,4,FALSE)),"")</formula1>
    </dataValidation>
    <dataValidation type="list" sqref="M341" xr:uid="{7BDC5461-3EFE-49A9-8A93-61FF64E272AE}">
      <formula1>=IF(L341&lt;&gt;"",INDIRECT(VLOOKUP(L341,ThangLuongData,3,FALSE)),"")</formula1>
    </dataValidation>
    <dataValidation type="list" sqref="N341" xr:uid="{50CECB39-1198-47D2-A28B-D762B78A18CF}">
      <formula1>=IF(M341&lt;&gt;"",INDIRECT(VLOOKUP(M341,NgachLuongData,4,FALSE)),"")</formula1>
    </dataValidation>
    <dataValidation type="list" sqref="M342" xr:uid="{61D5D63D-C3F0-4BF4-9B68-56F1D93FFEE1}">
      <formula1>=IF(L342&lt;&gt;"",INDIRECT(VLOOKUP(L342,ThangLuongData,3,FALSE)),"")</formula1>
    </dataValidation>
    <dataValidation type="list" sqref="N342" xr:uid="{FEC71D7C-517A-4847-B8F6-593AF8A4DF06}">
      <formula1>=IF(M342&lt;&gt;"",INDIRECT(VLOOKUP(M342,NgachLuongData,4,FALSE)),"")</formula1>
    </dataValidation>
    <dataValidation type="list" sqref="M343" xr:uid="{2142484A-9FFA-4D6D-BDE9-2170EB14C1B2}">
      <formula1>=IF(L343&lt;&gt;"",INDIRECT(VLOOKUP(L343,ThangLuongData,3,FALSE)),"")</formula1>
    </dataValidation>
    <dataValidation type="list" sqref="N343" xr:uid="{F672086B-DA2C-49CE-A962-CF4376E1145B}">
      <formula1>=IF(M343&lt;&gt;"",INDIRECT(VLOOKUP(M343,NgachLuongData,4,FALSE)),"")</formula1>
    </dataValidation>
    <dataValidation type="list" sqref="M344" xr:uid="{235B818C-8671-42E8-AD0F-6045918B3C88}">
      <formula1>=IF(L344&lt;&gt;"",INDIRECT(VLOOKUP(L344,ThangLuongData,3,FALSE)),"")</formula1>
    </dataValidation>
    <dataValidation type="list" sqref="N344" xr:uid="{92BD0EF7-A7C8-4142-B461-0D8DCD066217}">
      <formula1>=IF(M344&lt;&gt;"",INDIRECT(VLOOKUP(M344,NgachLuongData,4,FALSE)),"")</formula1>
    </dataValidation>
    <dataValidation type="list" sqref="M345" xr:uid="{00C00717-B7A3-433E-9AC3-3023082B420F}">
      <formula1>=IF(L345&lt;&gt;"",INDIRECT(VLOOKUP(L345,ThangLuongData,3,FALSE)),"")</formula1>
    </dataValidation>
    <dataValidation type="list" sqref="N345" xr:uid="{75E957FE-4299-4ABE-94D5-A78D184ED968}">
      <formula1>=IF(M345&lt;&gt;"",INDIRECT(VLOOKUP(M345,NgachLuongData,4,FALSE)),"")</formula1>
    </dataValidation>
    <dataValidation type="list" sqref="M346" xr:uid="{2143E67E-2A28-4B61-81B7-7770A4083077}">
      <formula1>=IF(L346&lt;&gt;"",INDIRECT(VLOOKUP(L346,ThangLuongData,3,FALSE)),"")</formula1>
    </dataValidation>
    <dataValidation type="list" sqref="N346" xr:uid="{1FA023FA-6C08-4340-A287-80D11354580E}">
      <formula1>=IF(M346&lt;&gt;"",INDIRECT(VLOOKUP(M346,NgachLuongData,4,FALSE)),"")</formula1>
    </dataValidation>
    <dataValidation type="list" sqref="M347" xr:uid="{EE211D5F-00B0-4DD5-9A5F-B09C56C73B8A}">
      <formula1>=IF(L347&lt;&gt;"",INDIRECT(VLOOKUP(L347,ThangLuongData,3,FALSE)),"")</formula1>
    </dataValidation>
    <dataValidation type="list" sqref="N347" xr:uid="{BCB0F3BA-8382-44DC-85DA-4935ECE44367}">
      <formula1>=IF(M347&lt;&gt;"",INDIRECT(VLOOKUP(M347,NgachLuongData,4,FALSE)),"")</formula1>
    </dataValidation>
    <dataValidation type="list" sqref="M348" xr:uid="{23F28435-38C8-4BC6-B15E-08C31F2B4A6A}">
      <formula1>=IF(L348&lt;&gt;"",INDIRECT(VLOOKUP(L348,ThangLuongData,3,FALSE)),"")</formula1>
    </dataValidation>
    <dataValidation type="list" sqref="N348" xr:uid="{E6DCEC5B-FF29-464E-BB1F-00EDAC2A2E3C}">
      <formula1>=IF(M348&lt;&gt;"",INDIRECT(VLOOKUP(M348,NgachLuongData,4,FALSE)),"")</formula1>
    </dataValidation>
    <dataValidation type="list" sqref="M349" xr:uid="{C5EBBF6E-18F6-462C-80CB-9C45FA48A2EB}">
      <formula1>=IF(L349&lt;&gt;"",INDIRECT(VLOOKUP(L349,ThangLuongData,3,FALSE)),"")</formula1>
    </dataValidation>
    <dataValidation type="list" sqref="N349" xr:uid="{27338705-97F0-4485-B8A4-E37AF888B169}">
      <formula1>=IF(M349&lt;&gt;"",INDIRECT(VLOOKUP(M349,NgachLuongData,4,FALSE)),"")</formula1>
    </dataValidation>
    <dataValidation type="list" sqref="M350" xr:uid="{924C8DCC-6AF2-48E0-875A-F63C37D65902}">
      <formula1>=IF(L350&lt;&gt;"",INDIRECT(VLOOKUP(L350,ThangLuongData,3,FALSE)),"")</formula1>
    </dataValidation>
    <dataValidation type="list" sqref="N350" xr:uid="{A158B72B-36D7-4592-B450-D9C5D6720DC1}">
      <formula1>=IF(M350&lt;&gt;"",INDIRECT(VLOOKUP(M350,NgachLuongData,4,FALSE)),"")</formula1>
    </dataValidation>
    <dataValidation type="list" sqref="M351" xr:uid="{0F7D6C27-4F84-455A-8EAC-9F6041ACDB03}">
      <formula1>=IF(L351&lt;&gt;"",INDIRECT(VLOOKUP(L351,ThangLuongData,3,FALSE)),"")</formula1>
    </dataValidation>
    <dataValidation type="list" sqref="N351" xr:uid="{69EF4370-3E4D-4237-9F1A-17023DC0EF62}">
      <formula1>=IF(M351&lt;&gt;"",INDIRECT(VLOOKUP(M351,NgachLuongData,4,FALSE)),"")</formula1>
    </dataValidation>
    <dataValidation type="list" sqref="M352" xr:uid="{7B6725BF-9F91-4E25-B623-7D7F9560BB37}">
      <formula1>=IF(L352&lt;&gt;"",INDIRECT(VLOOKUP(L352,ThangLuongData,3,FALSE)),"")</formula1>
    </dataValidation>
    <dataValidation type="list" sqref="N352" xr:uid="{6240577A-CB16-45EE-80E8-A5772DF364E9}">
      <formula1>=IF(M352&lt;&gt;"",INDIRECT(VLOOKUP(M352,NgachLuongData,4,FALSE)),"")</formula1>
    </dataValidation>
    <dataValidation type="list" sqref="M353" xr:uid="{32AA9212-19C0-476E-A9B2-DCB1C0375A34}">
      <formula1>=IF(L353&lt;&gt;"",INDIRECT(VLOOKUP(L353,ThangLuongData,3,FALSE)),"")</formula1>
    </dataValidation>
    <dataValidation type="list" sqref="N353" xr:uid="{0B285D9E-346A-4B12-83C8-BB262513D42E}">
      <formula1>=IF(M353&lt;&gt;"",INDIRECT(VLOOKUP(M353,NgachLuongData,4,FALSE)),"")</formula1>
    </dataValidation>
    <dataValidation type="list" sqref="M354" xr:uid="{7D3ED8DA-845F-4D20-B2C8-811297377D3E}">
      <formula1>=IF(L354&lt;&gt;"",INDIRECT(VLOOKUP(L354,ThangLuongData,3,FALSE)),"")</formula1>
    </dataValidation>
    <dataValidation type="list" sqref="N354" xr:uid="{4A3ABB19-F859-4A25-985C-8BEEEAD6C5AA}">
      <formula1>=IF(M354&lt;&gt;"",INDIRECT(VLOOKUP(M354,NgachLuongData,4,FALSE)),"")</formula1>
    </dataValidation>
    <dataValidation type="list" sqref="M355" xr:uid="{6F571823-6519-4B43-94F4-99B421615541}">
      <formula1>=IF(L355&lt;&gt;"",INDIRECT(VLOOKUP(L355,ThangLuongData,3,FALSE)),"")</formula1>
    </dataValidation>
    <dataValidation type="list" sqref="N355" xr:uid="{BD51B76F-B24F-4D32-83A6-075E803E08B8}">
      <formula1>=IF(M355&lt;&gt;"",INDIRECT(VLOOKUP(M355,NgachLuongData,4,FALSE)),"")</formula1>
    </dataValidation>
    <dataValidation type="list" sqref="M356" xr:uid="{86F6CBC9-0628-46D6-A0A6-65970BAAE7BD}">
      <formula1>=IF(L356&lt;&gt;"",INDIRECT(VLOOKUP(L356,ThangLuongData,3,FALSE)),"")</formula1>
    </dataValidation>
    <dataValidation type="list" sqref="N356" xr:uid="{A17D3967-7A9C-4A09-B270-8E2B76F83C8E}">
      <formula1>=IF(M356&lt;&gt;"",INDIRECT(VLOOKUP(M356,NgachLuongData,4,FALSE)),"")</formula1>
    </dataValidation>
    <dataValidation type="list" sqref="M357" xr:uid="{09713CA2-6A5C-4F97-B90D-330BDFDE89D6}">
      <formula1>=IF(L357&lt;&gt;"",INDIRECT(VLOOKUP(L357,ThangLuongData,3,FALSE)),"")</formula1>
    </dataValidation>
    <dataValidation type="list" sqref="N357" xr:uid="{70E3C5F5-2EFE-4D9D-A189-9A35EF9E5F34}">
      <formula1>=IF(M357&lt;&gt;"",INDIRECT(VLOOKUP(M357,NgachLuongData,4,FALSE)),"")</formula1>
    </dataValidation>
    <dataValidation type="list" sqref="M358" xr:uid="{0E8AB96D-223C-48A7-BAA8-1B1DB9B552AE}">
      <formula1>=IF(L358&lt;&gt;"",INDIRECT(VLOOKUP(L358,ThangLuongData,3,FALSE)),"")</formula1>
    </dataValidation>
    <dataValidation type="list" sqref="N358" xr:uid="{D0A4364E-F319-4F76-B97C-C861342987FA}">
      <formula1>=IF(M358&lt;&gt;"",INDIRECT(VLOOKUP(M358,NgachLuongData,4,FALSE)),"")</formula1>
    </dataValidation>
    <dataValidation type="list" sqref="M359" xr:uid="{1278C21F-C658-4A27-BC97-911CDED4B242}">
      <formula1>=IF(L359&lt;&gt;"",INDIRECT(VLOOKUP(L359,ThangLuongData,3,FALSE)),"")</formula1>
    </dataValidation>
    <dataValidation type="list" sqref="N359" xr:uid="{21BF19FA-04EF-4BEB-99C3-EB422FE97F52}">
      <formula1>=IF(M359&lt;&gt;"",INDIRECT(VLOOKUP(M359,NgachLuongData,4,FALSE)),"")</formula1>
    </dataValidation>
    <dataValidation type="list" sqref="M360" xr:uid="{C5E4CE65-4695-4434-91B7-A00D00E42B98}">
      <formula1>=IF(L360&lt;&gt;"",INDIRECT(VLOOKUP(L360,ThangLuongData,3,FALSE)),"")</formula1>
    </dataValidation>
    <dataValidation type="list" sqref="N360" xr:uid="{E173810A-1487-450E-BAB2-6611DD95CC7D}">
      <formula1>=IF(M360&lt;&gt;"",INDIRECT(VLOOKUP(M360,NgachLuongData,4,FALSE)),"")</formula1>
    </dataValidation>
    <dataValidation type="list" sqref="M361" xr:uid="{FA9D5332-A393-45D7-BA92-5EB30B8ED7AB}">
      <formula1>=IF(L361&lt;&gt;"",INDIRECT(VLOOKUP(L361,ThangLuongData,3,FALSE)),"")</formula1>
    </dataValidation>
    <dataValidation type="list" sqref="N361" xr:uid="{FC049C49-3FEF-4B9F-B667-CE9DBE34B4AE}">
      <formula1>=IF(M361&lt;&gt;"",INDIRECT(VLOOKUP(M361,NgachLuongData,4,FALSE)),"")</formula1>
    </dataValidation>
    <dataValidation type="list" sqref="M362" xr:uid="{C9A2136A-4B40-416D-AB05-77FF3CE8A1EC}">
      <formula1>=IF(L362&lt;&gt;"",INDIRECT(VLOOKUP(L362,ThangLuongData,3,FALSE)),"")</formula1>
    </dataValidation>
    <dataValidation type="list" sqref="N362" xr:uid="{D277D473-2DDE-4D39-BE3D-2DA5F12C1081}">
      <formula1>=IF(M362&lt;&gt;"",INDIRECT(VLOOKUP(M362,NgachLuongData,4,FALSE)),"")</formula1>
    </dataValidation>
    <dataValidation type="list" sqref="M363" xr:uid="{C375B161-B0CB-474B-9CBE-5ACD504CEE44}">
      <formula1>=IF(L363&lt;&gt;"",INDIRECT(VLOOKUP(L363,ThangLuongData,3,FALSE)),"")</formula1>
    </dataValidation>
    <dataValidation type="list" sqref="N363" xr:uid="{AB3B8626-45EC-49D6-9C0D-65D29E6C50C4}">
      <formula1>=IF(M363&lt;&gt;"",INDIRECT(VLOOKUP(M363,NgachLuongData,4,FALSE)),"")</formula1>
    </dataValidation>
    <dataValidation type="list" sqref="M364" xr:uid="{F8E0B377-3EE1-4C04-A76B-6C9BF8738BE0}">
      <formula1>=IF(L364&lt;&gt;"",INDIRECT(VLOOKUP(L364,ThangLuongData,3,FALSE)),"")</formula1>
    </dataValidation>
    <dataValidation type="list" sqref="N364" xr:uid="{FE73CE0D-779A-4916-93D2-B254E6F0156F}">
      <formula1>=IF(M364&lt;&gt;"",INDIRECT(VLOOKUP(M364,NgachLuongData,4,FALSE)),"")</formula1>
    </dataValidation>
    <dataValidation type="list" sqref="M365" xr:uid="{CC088378-C8AE-4C60-AEEA-6D44C4D520F6}">
      <formula1>=IF(L365&lt;&gt;"",INDIRECT(VLOOKUP(L365,ThangLuongData,3,FALSE)),"")</formula1>
    </dataValidation>
    <dataValidation type="list" sqref="N365" xr:uid="{B08013C3-1055-47CE-9B2C-B40810C04979}">
      <formula1>=IF(M365&lt;&gt;"",INDIRECT(VLOOKUP(M365,NgachLuongData,4,FALSE)),"")</formula1>
    </dataValidation>
    <dataValidation type="list" sqref="M366" xr:uid="{CCC89D02-1271-4CFA-AFD7-45607210AEE4}">
      <formula1>=IF(L366&lt;&gt;"",INDIRECT(VLOOKUP(L366,ThangLuongData,3,FALSE)),"")</formula1>
    </dataValidation>
    <dataValidation type="list" sqref="N366" xr:uid="{4C3205BD-8A84-44E7-B183-0E571AF21161}">
      <formula1>=IF(M366&lt;&gt;"",INDIRECT(VLOOKUP(M366,NgachLuongData,4,FALSE)),"")</formula1>
    </dataValidation>
    <dataValidation type="list" sqref="M367" xr:uid="{4966AD42-6B6A-4A6F-9C2E-D803BB9C9B1D}">
      <formula1>=IF(L367&lt;&gt;"",INDIRECT(VLOOKUP(L367,ThangLuongData,3,FALSE)),"")</formula1>
    </dataValidation>
    <dataValidation type="list" sqref="N367" xr:uid="{3BDFF9A2-6289-48F9-9920-966C18CD6FB3}">
      <formula1>=IF(M367&lt;&gt;"",INDIRECT(VLOOKUP(M367,NgachLuongData,4,FALSE)),"")</formula1>
    </dataValidation>
    <dataValidation type="list" sqref="M368" xr:uid="{8469D40B-3131-4854-8E2A-4835A6A585A9}">
      <formula1>=IF(L368&lt;&gt;"",INDIRECT(VLOOKUP(L368,ThangLuongData,3,FALSE)),"")</formula1>
    </dataValidation>
    <dataValidation type="list" sqref="N368" xr:uid="{003EE87C-AC88-41B5-9667-E0C881F0112F}">
      <formula1>=IF(M368&lt;&gt;"",INDIRECT(VLOOKUP(M368,NgachLuongData,4,FALSE)),"")</formula1>
    </dataValidation>
    <dataValidation type="list" sqref="M369" xr:uid="{54E9C069-6234-4B50-973D-DD33ECB01080}">
      <formula1>=IF(L369&lt;&gt;"",INDIRECT(VLOOKUP(L369,ThangLuongData,3,FALSE)),"")</formula1>
    </dataValidation>
    <dataValidation type="list" sqref="N369" xr:uid="{5ADED4F8-8563-4D09-A7F8-F6E53197D0C2}">
      <formula1>=IF(M369&lt;&gt;"",INDIRECT(VLOOKUP(M369,NgachLuongData,4,FALSE)),"")</formula1>
    </dataValidation>
    <dataValidation type="list" sqref="M370" xr:uid="{CCDC555D-EA22-4B0B-9133-4017D1FAFC8F}">
      <formula1>=IF(L370&lt;&gt;"",INDIRECT(VLOOKUP(L370,ThangLuongData,3,FALSE)),"")</formula1>
    </dataValidation>
    <dataValidation type="list" sqref="N370" xr:uid="{13B9282D-E653-43C4-9AFE-8E4BE5650646}">
      <formula1>=IF(M370&lt;&gt;"",INDIRECT(VLOOKUP(M370,NgachLuongData,4,FALSE)),"")</formula1>
    </dataValidation>
    <dataValidation type="list" sqref="M371" xr:uid="{457DFA3D-626A-442A-839A-DF6FA8852A98}">
      <formula1>=IF(L371&lt;&gt;"",INDIRECT(VLOOKUP(L371,ThangLuongData,3,FALSE)),"")</formula1>
    </dataValidation>
    <dataValidation type="list" sqref="N371" xr:uid="{90DCF2F8-4715-45D1-AE43-4CE84E6A594E}">
      <formula1>=IF(M371&lt;&gt;"",INDIRECT(VLOOKUP(M371,NgachLuongData,4,FALSE)),"")</formula1>
    </dataValidation>
    <dataValidation type="list" sqref="M372" xr:uid="{0059C3C4-8B7C-4982-922C-EFB382DC6B8A}">
      <formula1>=IF(L372&lt;&gt;"",INDIRECT(VLOOKUP(L372,ThangLuongData,3,FALSE)),"")</formula1>
    </dataValidation>
    <dataValidation type="list" sqref="N372" xr:uid="{A8F89FB3-E8A5-4952-9711-ED9BB6E63DDD}">
      <formula1>=IF(M372&lt;&gt;"",INDIRECT(VLOOKUP(M372,NgachLuongData,4,FALSE)),"")</formula1>
    </dataValidation>
    <dataValidation type="list" sqref="M373" xr:uid="{669A5F55-A211-4BD0-BA8A-386F8B4D848F}">
      <formula1>=IF(L373&lt;&gt;"",INDIRECT(VLOOKUP(L373,ThangLuongData,3,FALSE)),"")</formula1>
    </dataValidation>
    <dataValidation type="list" sqref="N373" xr:uid="{F9CB1D45-14D5-4B8F-83FE-EE0ECC8BD5E6}">
      <formula1>=IF(M373&lt;&gt;"",INDIRECT(VLOOKUP(M373,NgachLuongData,4,FALSE)),"")</formula1>
    </dataValidation>
    <dataValidation type="list" sqref="M374" xr:uid="{D2B796C6-EEEF-49AD-85E6-73BDC4F38B2F}">
      <formula1>=IF(L374&lt;&gt;"",INDIRECT(VLOOKUP(L374,ThangLuongData,3,FALSE)),"")</formula1>
    </dataValidation>
    <dataValidation type="list" sqref="N374" xr:uid="{B205585E-A058-4ADB-A25B-BEE9D802BE84}">
      <formula1>=IF(M374&lt;&gt;"",INDIRECT(VLOOKUP(M374,NgachLuongData,4,FALSE)),"")</formula1>
    </dataValidation>
    <dataValidation type="list" sqref="M375" xr:uid="{FF196106-CFB0-46BF-94CE-6399E9AB5977}">
      <formula1>=IF(L375&lt;&gt;"",INDIRECT(VLOOKUP(L375,ThangLuongData,3,FALSE)),"")</formula1>
    </dataValidation>
    <dataValidation type="list" sqref="N375" xr:uid="{269A5B3D-F1A9-46E6-9024-2FFCA3572719}">
      <formula1>=IF(M375&lt;&gt;"",INDIRECT(VLOOKUP(M375,NgachLuongData,4,FALSE)),"")</formula1>
    </dataValidation>
    <dataValidation type="list" sqref="M376" xr:uid="{A6E6FD3A-32B8-43AA-830E-8521F058C642}">
      <formula1>=IF(L376&lt;&gt;"",INDIRECT(VLOOKUP(L376,ThangLuongData,3,FALSE)),"")</formula1>
    </dataValidation>
    <dataValidation type="list" sqref="N376" xr:uid="{A34FF8BC-9452-42C7-ACD0-A5DB9EF78589}">
      <formula1>=IF(M376&lt;&gt;"",INDIRECT(VLOOKUP(M376,NgachLuongData,4,FALSE)),"")</formula1>
    </dataValidation>
    <dataValidation type="list" sqref="M377" xr:uid="{A63D2D2F-B107-422E-9C85-B6F80025B2A6}">
      <formula1>=IF(L377&lt;&gt;"",INDIRECT(VLOOKUP(L377,ThangLuongData,3,FALSE)),"")</formula1>
    </dataValidation>
    <dataValidation type="list" sqref="N377" xr:uid="{BAE8AFF3-96DB-468A-86DC-A09D56253174}">
      <formula1>=IF(M377&lt;&gt;"",INDIRECT(VLOOKUP(M377,NgachLuongData,4,FALSE)),"")</formula1>
    </dataValidation>
    <dataValidation type="list" sqref="M378" xr:uid="{3B701B33-5FB8-4F5D-BB59-88C318C69AFA}">
      <formula1>=IF(L378&lt;&gt;"",INDIRECT(VLOOKUP(L378,ThangLuongData,3,FALSE)),"")</formula1>
    </dataValidation>
    <dataValidation type="list" sqref="N378" xr:uid="{45C858A2-6C37-4A92-8E81-5FFF3EB47146}">
      <formula1>=IF(M378&lt;&gt;"",INDIRECT(VLOOKUP(M378,NgachLuongData,4,FALSE)),"")</formula1>
    </dataValidation>
    <dataValidation type="list" sqref="M379" xr:uid="{65DE6250-3981-4617-8867-A3B6F86CE41D}">
      <formula1>=IF(L379&lt;&gt;"",INDIRECT(VLOOKUP(L379,ThangLuongData,3,FALSE)),"")</formula1>
    </dataValidation>
    <dataValidation type="list" sqref="N379" xr:uid="{799849D0-CAA7-4FC9-B3ED-D3A3B0D5C5C9}">
      <formula1>=IF(M379&lt;&gt;"",INDIRECT(VLOOKUP(M379,NgachLuongData,4,FALSE)),"")</formula1>
    </dataValidation>
    <dataValidation type="list" sqref="M380" xr:uid="{D1914DE8-5248-4BBD-AFE1-40CE9A0AD2BB}">
      <formula1>=IF(L380&lt;&gt;"",INDIRECT(VLOOKUP(L380,ThangLuongData,3,FALSE)),"")</formula1>
    </dataValidation>
    <dataValidation type="list" sqref="N380" xr:uid="{D23DA842-9186-486A-A811-386925DAC897}">
      <formula1>=IF(M380&lt;&gt;"",INDIRECT(VLOOKUP(M380,NgachLuongData,4,FALSE)),"")</formula1>
    </dataValidation>
    <dataValidation type="list" sqref="M381" xr:uid="{40DD2961-D7A4-4CCC-8338-5C4B409CDB12}">
      <formula1>=IF(L381&lt;&gt;"",INDIRECT(VLOOKUP(L381,ThangLuongData,3,FALSE)),"")</formula1>
    </dataValidation>
    <dataValidation type="list" sqref="N381" xr:uid="{433B655B-C438-4A40-B6C0-81F76AD4189E}">
      <formula1>=IF(M381&lt;&gt;"",INDIRECT(VLOOKUP(M381,NgachLuongData,4,FALSE)),"")</formula1>
    </dataValidation>
    <dataValidation type="list" sqref="M382" xr:uid="{C8872C00-0970-46AB-9E1E-F3D7B4446C22}">
      <formula1>=IF(L382&lt;&gt;"",INDIRECT(VLOOKUP(L382,ThangLuongData,3,FALSE)),"")</formula1>
    </dataValidation>
    <dataValidation type="list" sqref="N382" xr:uid="{A9F324A3-B2A2-43A9-8122-DCACB3E0C298}">
      <formula1>=IF(M382&lt;&gt;"",INDIRECT(VLOOKUP(M382,NgachLuongData,4,FALSE)),"")</formula1>
    </dataValidation>
    <dataValidation type="list" sqref="M383" xr:uid="{7F06DDF4-2211-463D-AF9F-173C8F1678ED}">
      <formula1>=IF(L383&lt;&gt;"",INDIRECT(VLOOKUP(L383,ThangLuongData,3,FALSE)),"")</formula1>
    </dataValidation>
    <dataValidation type="list" sqref="N383" xr:uid="{DCFA4057-5982-4BBF-A7BB-C818042F03C6}">
      <formula1>=IF(M383&lt;&gt;"",INDIRECT(VLOOKUP(M383,NgachLuongData,4,FALSE)),"")</formula1>
    </dataValidation>
    <dataValidation type="list" sqref="M384" xr:uid="{2CE46FB1-EFD8-4200-885A-14ADE7413F66}">
      <formula1>=IF(L384&lt;&gt;"",INDIRECT(VLOOKUP(L384,ThangLuongData,3,FALSE)),"")</formula1>
    </dataValidation>
    <dataValidation type="list" sqref="N384" xr:uid="{3AE78786-4B5F-4DA2-A1BE-32B92B50C9A4}">
      <formula1>=IF(M384&lt;&gt;"",INDIRECT(VLOOKUP(M384,NgachLuongData,4,FALSE)),"")</formula1>
    </dataValidation>
    <dataValidation type="list" sqref="M385" xr:uid="{D9655C9D-3002-4C10-B02A-EE1FFEF6BAE8}">
      <formula1>=IF(L385&lt;&gt;"",INDIRECT(VLOOKUP(L385,ThangLuongData,3,FALSE)),"")</formula1>
    </dataValidation>
    <dataValidation type="list" sqref="N385" xr:uid="{2C96C275-3DB3-4070-B03B-0F9A46EFA3AB}">
      <formula1>=IF(M385&lt;&gt;"",INDIRECT(VLOOKUP(M385,NgachLuongData,4,FALSE)),"")</formula1>
    </dataValidation>
    <dataValidation type="list" sqref="M386" xr:uid="{814B78E1-0AA4-49F9-A972-81C1BED45182}">
      <formula1>=IF(L386&lt;&gt;"",INDIRECT(VLOOKUP(L386,ThangLuongData,3,FALSE)),"")</formula1>
    </dataValidation>
    <dataValidation type="list" sqref="N386" xr:uid="{59A48A69-DBEF-4C7B-9FF9-DB0736F836ED}">
      <formula1>=IF(M386&lt;&gt;"",INDIRECT(VLOOKUP(M386,NgachLuongData,4,FALSE)),"")</formula1>
    </dataValidation>
    <dataValidation type="list" sqref="M387" xr:uid="{02A1FD94-1319-4C87-A747-B5E61A419534}">
      <formula1>=IF(L387&lt;&gt;"",INDIRECT(VLOOKUP(L387,ThangLuongData,3,FALSE)),"")</formula1>
    </dataValidation>
    <dataValidation type="list" sqref="N387" xr:uid="{4086D1A8-F60D-4ED0-AB00-4545322D0AD1}">
      <formula1>=IF(M387&lt;&gt;"",INDIRECT(VLOOKUP(M387,NgachLuongData,4,FALSE)),"")</formula1>
    </dataValidation>
    <dataValidation type="list" sqref="M388" xr:uid="{ED50C6BF-AF34-4595-AF53-189FDEFBECBB}">
      <formula1>=IF(L388&lt;&gt;"",INDIRECT(VLOOKUP(L388,ThangLuongData,3,FALSE)),"")</formula1>
    </dataValidation>
    <dataValidation type="list" sqref="N388" xr:uid="{44258B62-CEE9-40B7-9CDE-19648497C5C5}">
      <formula1>=IF(M388&lt;&gt;"",INDIRECT(VLOOKUP(M388,NgachLuongData,4,FALSE)),"")</formula1>
    </dataValidation>
    <dataValidation type="list" sqref="M389" xr:uid="{5255D9B5-576F-4155-808B-844589E8D617}">
      <formula1>=IF(L389&lt;&gt;"",INDIRECT(VLOOKUP(L389,ThangLuongData,3,FALSE)),"")</formula1>
    </dataValidation>
    <dataValidation type="list" sqref="N389" xr:uid="{80125EB9-7E82-4376-8599-6746FA7B2CE8}">
      <formula1>=IF(M389&lt;&gt;"",INDIRECT(VLOOKUP(M389,NgachLuongData,4,FALSE)),"")</formula1>
    </dataValidation>
    <dataValidation type="list" sqref="M390" xr:uid="{A3E0A318-B763-4BFC-BC92-4E06D0BBAA55}">
      <formula1>=IF(L390&lt;&gt;"",INDIRECT(VLOOKUP(L390,ThangLuongData,3,FALSE)),"")</formula1>
    </dataValidation>
    <dataValidation type="list" sqref="N390" xr:uid="{CD7E1EF4-DD9A-41E9-B682-49BBF5DB71D7}">
      <formula1>=IF(M390&lt;&gt;"",INDIRECT(VLOOKUP(M390,NgachLuongData,4,FALSE)),"")</formula1>
    </dataValidation>
    <dataValidation type="list" sqref="M391" xr:uid="{CED805F1-BF6C-4FBA-94E7-DB2839DC5FCC}">
      <formula1>=IF(L391&lt;&gt;"",INDIRECT(VLOOKUP(L391,ThangLuongData,3,FALSE)),"")</formula1>
    </dataValidation>
    <dataValidation type="list" sqref="N391" xr:uid="{F289EF85-B677-4072-BD4A-B8A9D924459F}">
      <formula1>=IF(M391&lt;&gt;"",INDIRECT(VLOOKUP(M391,NgachLuongData,4,FALSE)),"")</formula1>
    </dataValidation>
    <dataValidation type="list" sqref="M392" xr:uid="{3A177514-7DEC-4B94-A30F-4C0BC2D4BB0A}">
      <formula1>=IF(L392&lt;&gt;"",INDIRECT(VLOOKUP(L392,ThangLuongData,3,FALSE)),"")</formula1>
    </dataValidation>
    <dataValidation type="list" sqref="N392" xr:uid="{BF40C012-9E7C-463C-8FD8-8BFF73E1DD10}">
      <formula1>=IF(M392&lt;&gt;"",INDIRECT(VLOOKUP(M392,NgachLuongData,4,FALSE)),"")</formula1>
    </dataValidation>
    <dataValidation type="list" sqref="M393" xr:uid="{7C45A14B-EADF-486F-89D4-DF0FC1B1AF90}">
      <formula1>=IF(L393&lt;&gt;"",INDIRECT(VLOOKUP(L393,ThangLuongData,3,FALSE)),"")</formula1>
    </dataValidation>
    <dataValidation type="list" sqref="N393" xr:uid="{4C165FE2-7171-4F1E-85D1-684C17433B9F}">
      <formula1>=IF(M393&lt;&gt;"",INDIRECT(VLOOKUP(M393,NgachLuongData,4,FALSE)),"")</formula1>
    </dataValidation>
    <dataValidation type="list" sqref="M394" xr:uid="{0C307BC4-A8D0-4CE9-80EE-449F970D4261}">
      <formula1>=IF(L394&lt;&gt;"",INDIRECT(VLOOKUP(L394,ThangLuongData,3,FALSE)),"")</formula1>
    </dataValidation>
    <dataValidation type="list" sqref="N394" xr:uid="{BE8378AA-2939-4757-B720-18DC57CC3C91}">
      <formula1>=IF(M394&lt;&gt;"",INDIRECT(VLOOKUP(M394,NgachLuongData,4,FALSE)),"")</formula1>
    </dataValidation>
    <dataValidation type="list" sqref="M395" xr:uid="{F755711E-C8C0-4033-BE21-2BEADF54DA6E}">
      <formula1>=IF(L395&lt;&gt;"",INDIRECT(VLOOKUP(L395,ThangLuongData,3,FALSE)),"")</formula1>
    </dataValidation>
    <dataValidation type="list" sqref="N395" xr:uid="{513111AA-0F60-4F94-94FA-77565655001C}">
      <formula1>=IF(M395&lt;&gt;"",INDIRECT(VLOOKUP(M395,NgachLuongData,4,FALSE)),"")</formula1>
    </dataValidation>
    <dataValidation type="list" sqref="M396" xr:uid="{2910404C-14A4-4328-827D-9C3333A21244}">
      <formula1>=IF(L396&lt;&gt;"",INDIRECT(VLOOKUP(L396,ThangLuongData,3,FALSE)),"")</formula1>
    </dataValidation>
    <dataValidation type="list" sqref="N396" xr:uid="{75753C4F-D9AE-48A8-A230-637F1FF2FB53}">
      <formula1>=IF(M396&lt;&gt;"",INDIRECT(VLOOKUP(M396,NgachLuongData,4,FALSE)),"")</formula1>
    </dataValidation>
    <dataValidation type="list" sqref="M397" xr:uid="{993621C9-5602-46E1-87E9-CB985773D399}">
      <formula1>=IF(L397&lt;&gt;"",INDIRECT(VLOOKUP(L397,ThangLuongData,3,FALSE)),"")</formula1>
    </dataValidation>
    <dataValidation type="list" sqref="N397" xr:uid="{96D5804E-D126-479B-893E-9FD9C6BC9153}">
      <formula1>=IF(M397&lt;&gt;"",INDIRECT(VLOOKUP(M397,NgachLuongData,4,FALSE)),"")</formula1>
    </dataValidation>
    <dataValidation type="list" sqref="M398" xr:uid="{D528838B-96B7-4034-8025-1B3E40D69C50}">
      <formula1>=IF(L398&lt;&gt;"",INDIRECT(VLOOKUP(L398,ThangLuongData,3,FALSE)),"")</formula1>
    </dataValidation>
    <dataValidation type="list" sqref="N398" xr:uid="{457DDFF2-03C3-434F-AD19-362B86E86B3C}">
      <formula1>=IF(M398&lt;&gt;"",INDIRECT(VLOOKUP(M398,NgachLuongData,4,FALSE)),"")</formula1>
    </dataValidation>
    <dataValidation type="list" sqref="M399" xr:uid="{418B3E0F-ACEB-4DC2-A494-123F55095828}">
      <formula1>=IF(L399&lt;&gt;"",INDIRECT(VLOOKUP(L399,ThangLuongData,3,FALSE)),"")</formula1>
    </dataValidation>
    <dataValidation type="list" sqref="N399" xr:uid="{CDF66B84-0DA8-4B9E-9B70-5985C5278299}">
      <formula1>=IF(M399&lt;&gt;"",INDIRECT(VLOOKUP(M399,NgachLuongData,4,FALSE)),"")</formula1>
    </dataValidation>
    <dataValidation type="list" sqref="M400" xr:uid="{C087D3E8-3C7D-47A5-9B6E-2D72C17D8808}">
      <formula1>=IF(L400&lt;&gt;"",INDIRECT(VLOOKUP(L400,ThangLuongData,3,FALSE)),"")</formula1>
    </dataValidation>
    <dataValidation type="list" sqref="N400" xr:uid="{5DC24E5C-9D27-4FC5-96C6-75B0D9156892}">
      <formula1>=IF(M400&lt;&gt;"",INDIRECT(VLOOKUP(M400,NgachLuongData,4,FALSE)),"")</formula1>
    </dataValidation>
    <dataValidation type="list" sqref="M401" xr:uid="{5C21B9C2-812E-47E0-A7B9-11B13E4D5C13}">
      <formula1>=IF(L401&lt;&gt;"",INDIRECT(VLOOKUP(L401,ThangLuongData,3,FALSE)),"")</formula1>
    </dataValidation>
    <dataValidation type="list" sqref="N401" xr:uid="{2C7CA23D-AFF7-4A01-B2F4-2B61241E2B73}">
      <formula1>=IF(M401&lt;&gt;"",INDIRECT(VLOOKUP(M401,NgachLuongData,4,FALSE)),"")</formula1>
    </dataValidation>
    <dataValidation type="list" sqref="M402" xr:uid="{F93CA85C-4CC6-47A7-9F07-E29426393293}">
      <formula1>=IF(L402&lt;&gt;"",INDIRECT(VLOOKUP(L402,ThangLuongData,3,FALSE)),"")</formula1>
    </dataValidation>
    <dataValidation type="list" sqref="N402" xr:uid="{E5C11D1A-FAFB-49D1-8E62-A56A8E8CECEA}">
      <formula1>=IF(M402&lt;&gt;"",INDIRECT(VLOOKUP(M402,NgachLuongData,4,FALSE)),"")</formula1>
    </dataValidation>
    <dataValidation type="list" sqref="M403" xr:uid="{F6A10F16-F2CE-4C31-8024-6DB2B53CE9A0}">
      <formula1>=IF(L403&lt;&gt;"",INDIRECT(VLOOKUP(L403,ThangLuongData,3,FALSE)),"")</formula1>
    </dataValidation>
    <dataValidation type="list" sqref="N403" xr:uid="{E9399AF4-746B-4DF9-908A-92D4853EEF28}">
      <formula1>=IF(M403&lt;&gt;"",INDIRECT(VLOOKUP(M403,NgachLuongData,4,FALSE)),"")</formula1>
    </dataValidation>
    <dataValidation type="list" sqref="M404" xr:uid="{FAAC172F-0F41-456F-9728-01687A83C0C1}">
      <formula1>=IF(L404&lt;&gt;"",INDIRECT(VLOOKUP(L404,ThangLuongData,3,FALSE)),"")</formula1>
    </dataValidation>
    <dataValidation type="list" sqref="N404" xr:uid="{5FE9AF13-1A32-4E5D-A7C2-57F3C51E971F}">
      <formula1>=IF(M404&lt;&gt;"",INDIRECT(VLOOKUP(M404,NgachLuongData,4,FALSE)),"")</formula1>
    </dataValidation>
    <dataValidation type="list" sqref="M405" xr:uid="{194370AC-418D-4295-97E0-56F3E04A8180}">
      <formula1>=IF(L405&lt;&gt;"",INDIRECT(VLOOKUP(L405,ThangLuongData,3,FALSE)),"")</formula1>
    </dataValidation>
    <dataValidation type="list" sqref="N405" xr:uid="{E41828AC-2A00-4B1D-AF27-BBF3C1F83E00}">
      <formula1>=IF(M405&lt;&gt;"",INDIRECT(VLOOKUP(M405,NgachLuongData,4,FALSE)),"")</formula1>
    </dataValidation>
    <dataValidation type="list" sqref="M406" xr:uid="{BC8EA522-0317-44BC-BDF7-89643678E095}">
      <formula1>=IF(L406&lt;&gt;"",INDIRECT(VLOOKUP(L406,ThangLuongData,3,FALSE)),"")</formula1>
    </dataValidation>
    <dataValidation type="list" sqref="N406" xr:uid="{18AE3CF8-2CAE-4E4E-B255-847F775297D5}">
      <formula1>=IF(M406&lt;&gt;"",INDIRECT(VLOOKUP(M406,NgachLuongData,4,FALSE)),"")</formula1>
    </dataValidation>
    <dataValidation type="list" sqref="M407" xr:uid="{2B03B89F-D3F9-493C-9F06-260CF3F2BDFD}">
      <formula1>=IF(L407&lt;&gt;"",INDIRECT(VLOOKUP(L407,ThangLuongData,3,FALSE)),"")</formula1>
    </dataValidation>
    <dataValidation type="list" sqref="N407" xr:uid="{81F8B71D-AA7B-43DE-A73A-6C825E604FAD}">
      <formula1>=IF(M407&lt;&gt;"",INDIRECT(VLOOKUP(M407,NgachLuongData,4,FALSE)),"")</formula1>
    </dataValidation>
    <dataValidation type="list" sqref="M408" xr:uid="{41B13CD3-C3A1-42D4-B5F9-F5315E280577}">
      <formula1>=IF(L408&lt;&gt;"",INDIRECT(VLOOKUP(L408,ThangLuongData,3,FALSE)),"")</formula1>
    </dataValidation>
    <dataValidation type="list" sqref="N408" xr:uid="{21CD3827-0C03-4969-A419-D182DCDB8048}">
      <formula1>=IF(M408&lt;&gt;"",INDIRECT(VLOOKUP(M408,NgachLuongData,4,FALSE)),"")</formula1>
    </dataValidation>
    <dataValidation type="list" sqref="M409" xr:uid="{7AACADBD-6B05-43C2-846E-538CC10EFF4E}">
      <formula1>=IF(L409&lt;&gt;"",INDIRECT(VLOOKUP(L409,ThangLuongData,3,FALSE)),"")</formula1>
    </dataValidation>
    <dataValidation type="list" sqref="N409" xr:uid="{0910CFEC-083C-468B-B3E4-FBBDF35D1A3C}">
      <formula1>=IF(M409&lt;&gt;"",INDIRECT(VLOOKUP(M409,NgachLuongData,4,FALSE)),"")</formula1>
    </dataValidation>
    <dataValidation type="list" sqref="M410" xr:uid="{1C475934-111A-48B3-9768-BC5700871491}">
      <formula1>=IF(L410&lt;&gt;"",INDIRECT(VLOOKUP(L410,ThangLuongData,3,FALSE)),"")</formula1>
    </dataValidation>
    <dataValidation type="list" sqref="N410" xr:uid="{09C7AC58-3AC5-4744-A681-0D6015004024}">
      <formula1>=IF(M410&lt;&gt;"",INDIRECT(VLOOKUP(M410,NgachLuongData,4,FALSE)),"")</formula1>
    </dataValidation>
    <dataValidation type="list" sqref="M411" xr:uid="{A1F10D70-A0D5-41BC-93E4-E3084E5828AD}">
      <formula1>=IF(L411&lt;&gt;"",INDIRECT(VLOOKUP(L411,ThangLuongData,3,FALSE)),"")</formula1>
    </dataValidation>
    <dataValidation type="list" sqref="N411" xr:uid="{C05EFE71-5017-4406-8197-F319EF6F78D5}">
      <formula1>=IF(M411&lt;&gt;"",INDIRECT(VLOOKUP(M411,NgachLuongData,4,FALSE)),"")</formula1>
    </dataValidation>
    <dataValidation type="list" sqref="M412" xr:uid="{A78193AD-BD1A-4406-9CF0-6374ECAE75CD}">
      <formula1>=IF(L412&lt;&gt;"",INDIRECT(VLOOKUP(L412,ThangLuongData,3,FALSE)),"")</formula1>
    </dataValidation>
    <dataValidation type="list" sqref="N412" xr:uid="{EF529615-6846-49AF-8717-27AA13F72D4C}">
      <formula1>=IF(M412&lt;&gt;"",INDIRECT(VLOOKUP(M412,NgachLuongData,4,FALSE)),"")</formula1>
    </dataValidation>
    <dataValidation type="list" sqref="M413" xr:uid="{45C2407E-09A8-4604-B325-E983F25B8C25}">
      <formula1>=IF(L413&lt;&gt;"",INDIRECT(VLOOKUP(L413,ThangLuongData,3,FALSE)),"")</formula1>
    </dataValidation>
    <dataValidation type="list" sqref="N413" xr:uid="{97A93849-9473-4A88-9F51-583ECECE4509}">
      <formula1>=IF(M413&lt;&gt;"",INDIRECT(VLOOKUP(M413,NgachLuongData,4,FALSE)),"")</formula1>
    </dataValidation>
    <dataValidation type="list" sqref="M414" xr:uid="{2237AF37-914A-4658-9BAB-89BD4978CF71}">
      <formula1>=IF(L414&lt;&gt;"",INDIRECT(VLOOKUP(L414,ThangLuongData,3,FALSE)),"")</formula1>
    </dataValidation>
    <dataValidation type="list" sqref="N414" xr:uid="{25DC36FE-4AA8-45ED-AC3B-A5CC0391C4F0}">
      <formula1>=IF(M414&lt;&gt;"",INDIRECT(VLOOKUP(M414,NgachLuongData,4,FALSE)),"")</formula1>
    </dataValidation>
    <dataValidation type="list" sqref="M415" xr:uid="{A685BAE2-F7B1-483E-9D63-251C5ECA7AC7}">
      <formula1>=IF(L415&lt;&gt;"",INDIRECT(VLOOKUP(L415,ThangLuongData,3,FALSE)),"")</formula1>
    </dataValidation>
    <dataValidation type="list" sqref="N415" xr:uid="{648D6405-5FCA-4CDE-9C0E-2CBC0E3CC3DF}">
      <formula1>=IF(M415&lt;&gt;"",INDIRECT(VLOOKUP(M415,NgachLuongData,4,FALSE)),"")</formula1>
    </dataValidation>
    <dataValidation type="list" sqref="M416" xr:uid="{0E737C5B-986D-4EC9-8A69-9C8AF517A719}">
      <formula1>=IF(L416&lt;&gt;"",INDIRECT(VLOOKUP(L416,ThangLuongData,3,FALSE)),"")</formula1>
    </dataValidation>
    <dataValidation type="list" sqref="N416" xr:uid="{4443B127-BE9B-4EF3-8255-FEBD42BEDD09}">
      <formula1>=IF(M416&lt;&gt;"",INDIRECT(VLOOKUP(M416,NgachLuongData,4,FALSE)),"")</formula1>
    </dataValidation>
    <dataValidation type="list" sqref="M417" xr:uid="{654DA0EF-4A33-4476-BF68-B76529AE06A6}">
      <formula1>=IF(L417&lt;&gt;"",INDIRECT(VLOOKUP(L417,ThangLuongData,3,FALSE)),"")</formula1>
    </dataValidation>
    <dataValidation type="list" sqref="N417" xr:uid="{6788E20C-C4B0-4B1F-B2DB-B54DDB5F4171}">
      <formula1>=IF(M417&lt;&gt;"",INDIRECT(VLOOKUP(M417,NgachLuongData,4,FALSE)),"")</formula1>
    </dataValidation>
    <dataValidation type="list" sqref="M418" xr:uid="{88B8AE2D-FE60-4A71-8D03-E08B72D973D9}">
      <formula1>=IF(L418&lt;&gt;"",INDIRECT(VLOOKUP(L418,ThangLuongData,3,FALSE)),"")</formula1>
    </dataValidation>
    <dataValidation type="list" sqref="N418" xr:uid="{62EE4E67-F6B9-4446-9A1F-4F5C462AD9D2}">
      <formula1>=IF(M418&lt;&gt;"",INDIRECT(VLOOKUP(M418,NgachLuongData,4,FALSE)),"")</formula1>
    </dataValidation>
    <dataValidation type="list" sqref="M419" xr:uid="{5E7DF15C-8B77-483A-ACF5-A72DFCC37740}">
      <formula1>=IF(L419&lt;&gt;"",INDIRECT(VLOOKUP(L419,ThangLuongData,3,FALSE)),"")</formula1>
    </dataValidation>
    <dataValidation type="list" sqref="N419" xr:uid="{15C98A3C-AC5C-4D7F-B33F-86AD9851084B}">
      <formula1>=IF(M419&lt;&gt;"",INDIRECT(VLOOKUP(M419,NgachLuongData,4,FALSE)),"")</formula1>
    </dataValidation>
    <dataValidation type="list" sqref="M420" xr:uid="{56E3675E-17F6-4B40-A1E7-D01CBF83D531}">
      <formula1>=IF(L420&lt;&gt;"",INDIRECT(VLOOKUP(L420,ThangLuongData,3,FALSE)),"")</formula1>
    </dataValidation>
    <dataValidation type="list" sqref="N420" xr:uid="{5FD1E007-1904-44FD-9733-E62E9F35AFDA}">
      <formula1>=IF(M420&lt;&gt;"",INDIRECT(VLOOKUP(M420,NgachLuongData,4,FALSE)),"")</formula1>
    </dataValidation>
    <dataValidation type="list" sqref="M421" xr:uid="{35C2910C-DAFC-4C87-BE03-71A895D5BD73}">
      <formula1>=IF(L421&lt;&gt;"",INDIRECT(VLOOKUP(L421,ThangLuongData,3,FALSE)),"")</formula1>
    </dataValidation>
    <dataValidation type="list" sqref="N421" xr:uid="{E4B1A835-8358-4016-A07D-C4907FE16236}">
      <formula1>=IF(M421&lt;&gt;"",INDIRECT(VLOOKUP(M421,NgachLuongData,4,FALSE)),"")</formula1>
    </dataValidation>
    <dataValidation type="list" sqref="M422" xr:uid="{AC977B58-209B-424E-96EB-5FE495BCF754}">
      <formula1>=IF(L422&lt;&gt;"",INDIRECT(VLOOKUP(L422,ThangLuongData,3,FALSE)),"")</formula1>
    </dataValidation>
    <dataValidation type="list" sqref="N422" xr:uid="{77A428F4-E3A8-4DA8-A78B-9EB7B4698331}">
      <formula1>=IF(M422&lt;&gt;"",INDIRECT(VLOOKUP(M422,NgachLuongData,4,FALSE)),"")</formula1>
    </dataValidation>
    <dataValidation type="list" sqref="M423" xr:uid="{EA2B02EB-A456-4335-B171-9BA3A50CEE92}">
      <formula1>=IF(L423&lt;&gt;"",INDIRECT(VLOOKUP(L423,ThangLuongData,3,FALSE)),"")</formula1>
    </dataValidation>
    <dataValidation type="list" sqref="N423" xr:uid="{042143CD-4D63-4567-8947-9ACFD5700C6F}">
      <formula1>=IF(M423&lt;&gt;"",INDIRECT(VLOOKUP(M423,NgachLuongData,4,FALSE)),"")</formula1>
    </dataValidation>
    <dataValidation type="list" sqref="M424" xr:uid="{196DCD24-5B94-4474-809D-A332F3804397}">
      <formula1>=IF(L424&lt;&gt;"",INDIRECT(VLOOKUP(L424,ThangLuongData,3,FALSE)),"")</formula1>
    </dataValidation>
    <dataValidation type="list" sqref="N424" xr:uid="{CBE0825A-64AA-487E-B7EC-BECCF0D69D54}">
      <formula1>=IF(M424&lt;&gt;"",INDIRECT(VLOOKUP(M424,NgachLuongData,4,FALSE)),"")</formula1>
    </dataValidation>
    <dataValidation type="list" sqref="M425" xr:uid="{6011B114-F126-442F-87BD-98350345EDA4}">
      <formula1>=IF(L425&lt;&gt;"",INDIRECT(VLOOKUP(L425,ThangLuongData,3,FALSE)),"")</formula1>
    </dataValidation>
    <dataValidation type="list" sqref="N425" xr:uid="{E49EA0A9-EC5F-489D-A368-B7C01CD86FEF}">
      <formula1>=IF(M425&lt;&gt;"",INDIRECT(VLOOKUP(M425,NgachLuongData,4,FALSE)),"")</formula1>
    </dataValidation>
    <dataValidation type="list" sqref="M426" xr:uid="{A106B33F-CAA6-43C0-A118-BFBA44F465A6}">
      <formula1>=IF(L426&lt;&gt;"",INDIRECT(VLOOKUP(L426,ThangLuongData,3,FALSE)),"")</formula1>
    </dataValidation>
    <dataValidation type="list" sqref="N426" xr:uid="{E320D744-42DC-4F35-A25D-360A70B23814}">
      <formula1>=IF(M426&lt;&gt;"",INDIRECT(VLOOKUP(M426,NgachLuongData,4,FALSE)),"")</formula1>
    </dataValidation>
    <dataValidation type="list" sqref="M427" xr:uid="{A887668C-CFB1-4E3C-9F48-8DE84280EA8E}">
      <formula1>=IF(L427&lt;&gt;"",INDIRECT(VLOOKUP(L427,ThangLuongData,3,FALSE)),"")</formula1>
    </dataValidation>
    <dataValidation type="list" sqref="N427" xr:uid="{AE206ED0-DE8D-414B-8E48-F734153A4E41}">
      <formula1>=IF(M427&lt;&gt;"",INDIRECT(VLOOKUP(M427,NgachLuongData,4,FALSE)),"")</formula1>
    </dataValidation>
    <dataValidation type="list" sqref="M428" xr:uid="{877B6352-406C-44C3-AE9D-84DF6EF326DE}">
      <formula1>=IF(L428&lt;&gt;"",INDIRECT(VLOOKUP(L428,ThangLuongData,3,FALSE)),"")</formula1>
    </dataValidation>
    <dataValidation type="list" sqref="N428" xr:uid="{7CC78BE8-0732-4E70-BA80-94E9E583FD56}">
      <formula1>=IF(M428&lt;&gt;"",INDIRECT(VLOOKUP(M428,NgachLuongData,4,FALSE)),"")</formula1>
    </dataValidation>
    <dataValidation type="list" sqref="M429" xr:uid="{B3B1593A-27C2-4E89-9AC2-E25977A0848E}">
      <formula1>=IF(L429&lt;&gt;"",INDIRECT(VLOOKUP(L429,ThangLuongData,3,FALSE)),"")</formula1>
    </dataValidation>
    <dataValidation type="list" sqref="N429" xr:uid="{010A274F-8918-4D7A-9C69-268C21686A4C}">
      <formula1>=IF(M429&lt;&gt;"",INDIRECT(VLOOKUP(M429,NgachLuongData,4,FALSE)),"")</formula1>
    </dataValidation>
    <dataValidation type="list" sqref="M430" xr:uid="{9C962EC4-B6A9-4DA6-83E2-5CAAD083E1BE}">
      <formula1>=IF(L430&lt;&gt;"",INDIRECT(VLOOKUP(L430,ThangLuongData,3,FALSE)),"")</formula1>
    </dataValidation>
    <dataValidation type="list" sqref="N430" xr:uid="{7B065F09-40B6-4069-819C-459F3368CC37}">
      <formula1>=IF(M430&lt;&gt;"",INDIRECT(VLOOKUP(M430,NgachLuongData,4,FALSE)),"")</formula1>
    </dataValidation>
    <dataValidation type="list" sqref="M431" xr:uid="{F88853C4-AF94-46F8-B2D4-6245714919EF}">
      <formula1>=IF(L431&lt;&gt;"",INDIRECT(VLOOKUP(L431,ThangLuongData,3,FALSE)),"")</formula1>
    </dataValidation>
    <dataValidation type="list" sqref="N431" xr:uid="{28F5F7E5-3158-4269-8E04-63996F57FD0C}">
      <formula1>=IF(M431&lt;&gt;"",INDIRECT(VLOOKUP(M431,NgachLuongData,4,FALSE)),"")</formula1>
    </dataValidation>
    <dataValidation type="list" sqref="M432" xr:uid="{B168468E-6222-4C8E-BBEA-133E0B4C692C}">
      <formula1>=IF(L432&lt;&gt;"",INDIRECT(VLOOKUP(L432,ThangLuongData,3,FALSE)),"")</formula1>
    </dataValidation>
    <dataValidation type="list" sqref="N432" xr:uid="{7BB31456-E19A-44E1-8A52-D1E01EDC8DD3}">
      <formula1>=IF(M432&lt;&gt;"",INDIRECT(VLOOKUP(M432,NgachLuongData,4,FALSE)),"")</formula1>
    </dataValidation>
    <dataValidation type="list" sqref="M433" xr:uid="{5621A142-D062-4F2B-9C90-6087DA7B8411}">
      <formula1>=IF(L433&lt;&gt;"",INDIRECT(VLOOKUP(L433,ThangLuongData,3,FALSE)),"")</formula1>
    </dataValidation>
    <dataValidation type="list" sqref="N433" xr:uid="{D8044851-8B1D-4DB5-9981-51DD0AD06EC6}">
      <formula1>=IF(M433&lt;&gt;"",INDIRECT(VLOOKUP(M433,NgachLuongData,4,FALSE)),"")</formula1>
    </dataValidation>
    <dataValidation type="list" sqref="M434" xr:uid="{430AE5AF-E8E7-49E9-AFE6-804A773F078E}">
      <formula1>=IF(L434&lt;&gt;"",INDIRECT(VLOOKUP(L434,ThangLuongData,3,FALSE)),"")</formula1>
    </dataValidation>
    <dataValidation type="list" sqref="N434" xr:uid="{97247260-06BC-41FD-9E6E-A40EADA81ED8}">
      <formula1>=IF(M434&lt;&gt;"",INDIRECT(VLOOKUP(M434,NgachLuongData,4,FALSE)),"")</formula1>
    </dataValidation>
    <dataValidation type="list" sqref="M435" xr:uid="{26A17BB5-7FF3-4522-8C57-8084FADBE837}">
      <formula1>=IF(L435&lt;&gt;"",INDIRECT(VLOOKUP(L435,ThangLuongData,3,FALSE)),"")</formula1>
    </dataValidation>
    <dataValidation type="list" sqref="N435" xr:uid="{9FE3C5A9-B445-4760-93A2-7C941A507A19}">
      <formula1>=IF(M435&lt;&gt;"",INDIRECT(VLOOKUP(M435,NgachLuongData,4,FALSE)),"")</formula1>
    </dataValidation>
    <dataValidation type="list" sqref="M436" xr:uid="{36703FF4-89B3-4212-80D9-1BC98DC4381D}">
      <formula1>=IF(L436&lt;&gt;"",INDIRECT(VLOOKUP(L436,ThangLuongData,3,FALSE)),"")</formula1>
    </dataValidation>
    <dataValidation type="list" sqref="N436" xr:uid="{46E5220F-45B0-4932-B229-BC5FE94065E4}">
      <formula1>=IF(M436&lt;&gt;"",INDIRECT(VLOOKUP(M436,NgachLuongData,4,FALSE)),"")</formula1>
    </dataValidation>
    <dataValidation type="list" sqref="M437" xr:uid="{83FC505B-CFEA-4719-A545-1666F2FC3C2F}">
      <formula1>=IF(L437&lt;&gt;"",INDIRECT(VLOOKUP(L437,ThangLuongData,3,FALSE)),"")</formula1>
    </dataValidation>
    <dataValidation type="list" sqref="N437" xr:uid="{1BF4463D-CB35-433D-9FE5-A5C4888D1EC3}">
      <formula1>=IF(M437&lt;&gt;"",INDIRECT(VLOOKUP(M437,NgachLuongData,4,FALSE)),"")</formula1>
    </dataValidation>
    <dataValidation type="list" sqref="M438" xr:uid="{29AFC1DB-781F-419B-9198-439FA33B2885}">
      <formula1>=IF(L438&lt;&gt;"",INDIRECT(VLOOKUP(L438,ThangLuongData,3,FALSE)),"")</formula1>
    </dataValidation>
    <dataValidation type="list" sqref="N438" xr:uid="{FEC95058-A59B-4BA0-BC63-5E231BB9917D}">
      <formula1>=IF(M438&lt;&gt;"",INDIRECT(VLOOKUP(M438,NgachLuongData,4,FALSE)),"")</formula1>
    </dataValidation>
    <dataValidation type="list" sqref="M439" xr:uid="{D33FC39F-4F7B-40B0-A958-6F0CF6A16A5D}">
      <formula1>=IF(L439&lt;&gt;"",INDIRECT(VLOOKUP(L439,ThangLuongData,3,FALSE)),"")</formula1>
    </dataValidation>
    <dataValidation type="list" sqref="N439" xr:uid="{8DBBE460-44A9-47B5-B4A9-0CE3B5039434}">
      <formula1>=IF(M439&lt;&gt;"",INDIRECT(VLOOKUP(M439,NgachLuongData,4,FALSE)),"")</formula1>
    </dataValidation>
    <dataValidation type="list" sqref="M440" xr:uid="{9510D04C-46CB-4700-85B3-D7F3B97DC5D4}">
      <formula1>=IF(L440&lt;&gt;"",INDIRECT(VLOOKUP(L440,ThangLuongData,3,FALSE)),"")</formula1>
    </dataValidation>
    <dataValidation type="list" sqref="N440" xr:uid="{6068088C-2410-4883-82D0-30AAFFFC0593}">
      <formula1>=IF(M440&lt;&gt;"",INDIRECT(VLOOKUP(M440,NgachLuongData,4,FALSE)),"")</formula1>
    </dataValidation>
    <dataValidation type="list" sqref="M441" xr:uid="{041837B4-1956-4ACB-ADB4-21E620B002FE}">
      <formula1>=IF(L441&lt;&gt;"",INDIRECT(VLOOKUP(L441,ThangLuongData,3,FALSE)),"")</formula1>
    </dataValidation>
    <dataValidation type="list" sqref="N441" xr:uid="{1254252D-9BAC-4556-9DF6-3BFC6CAF3823}">
      <formula1>=IF(M441&lt;&gt;"",INDIRECT(VLOOKUP(M441,NgachLuongData,4,FALSE)),"")</formula1>
    </dataValidation>
    <dataValidation type="list" sqref="M442" xr:uid="{2FAE5FB2-82AD-4DCA-ABEE-241C37D77CCC}">
      <formula1>=IF(L442&lt;&gt;"",INDIRECT(VLOOKUP(L442,ThangLuongData,3,FALSE)),"")</formula1>
    </dataValidation>
    <dataValidation type="list" sqref="N442" xr:uid="{354029D8-CAAA-48DB-9D31-B33C7E011AFD}">
      <formula1>=IF(M442&lt;&gt;"",INDIRECT(VLOOKUP(M442,NgachLuongData,4,FALSE)),"")</formula1>
    </dataValidation>
    <dataValidation type="list" sqref="M443" xr:uid="{27CAB746-331F-42FF-87A7-2AC204D2C7A0}">
      <formula1>=IF(L443&lt;&gt;"",INDIRECT(VLOOKUP(L443,ThangLuongData,3,FALSE)),"")</formula1>
    </dataValidation>
    <dataValidation type="list" sqref="N443" xr:uid="{AD086E18-F8D7-4D0A-A901-F22A2405B05A}">
      <formula1>=IF(M443&lt;&gt;"",INDIRECT(VLOOKUP(M443,NgachLuongData,4,FALSE)),"")</formula1>
    </dataValidation>
    <dataValidation type="list" sqref="M444" xr:uid="{6BE88381-1144-4FAC-B16D-4A61E6240624}">
      <formula1>=IF(L444&lt;&gt;"",INDIRECT(VLOOKUP(L444,ThangLuongData,3,FALSE)),"")</formula1>
    </dataValidation>
    <dataValidation type="list" sqref="N444" xr:uid="{D48423BD-AAFD-4932-81B1-C34400A98140}">
      <formula1>=IF(M444&lt;&gt;"",INDIRECT(VLOOKUP(M444,NgachLuongData,4,FALSE)),"")</formula1>
    </dataValidation>
    <dataValidation type="list" sqref="M445" xr:uid="{20754940-8E56-415E-8106-AB3FE1448515}">
      <formula1>=IF(L445&lt;&gt;"",INDIRECT(VLOOKUP(L445,ThangLuongData,3,FALSE)),"")</formula1>
    </dataValidation>
    <dataValidation type="list" sqref="N445" xr:uid="{AEB74533-8147-4C35-9DDD-A8534D3A6AE0}">
      <formula1>=IF(M445&lt;&gt;"",INDIRECT(VLOOKUP(M445,NgachLuongData,4,FALSE)),"")</formula1>
    </dataValidation>
    <dataValidation type="list" sqref="M446" xr:uid="{0281EE99-CF04-47A7-8E08-A3C9B88CD439}">
      <formula1>=IF(L446&lt;&gt;"",INDIRECT(VLOOKUP(L446,ThangLuongData,3,FALSE)),"")</formula1>
    </dataValidation>
    <dataValidation type="list" sqref="N446" xr:uid="{0C85972E-1FD5-4266-AD28-E553D072D5A3}">
      <formula1>=IF(M446&lt;&gt;"",INDIRECT(VLOOKUP(M446,NgachLuongData,4,FALSE)),"")</formula1>
    </dataValidation>
    <dataValidation type="list" sqref="M447" xr:uid="{ACF1F799-A6DB-4996-8E71-A946C8FD5085}">
      <formula1>=IF(L447&lt;&gt;"",INDIRECT(VLOOKUP(L447,ThangLuongData,3,FALSE)),"")</formula1>
    </dataValidation>
    <dataValidation type="list" sqref="N447" xr:uid="{0BE13AF0-1CDD-4C92-B03C-B9D5E0563132}">
      <formula1>=IF(M447&lt;&gt;"",INDIRECT(VLOOKUP(M447,NgachLuongData,4,FALSE)),"")</formula1>
    </dataValidation>
    <dataValidation type="list" sqref="M448" xr:uid="{BCBCD50C-57CD-4D0A-9786-04CF791BFA62}">
      <formula1>=IF(L448&lt;&gt;"",INDIRECT(VLOOKUP(L448,ThangLuongData,3,FALSE)),"")</formula1>
    </dataValidation>
    <dataValidation type="list" sqref="N448" xr:uid="{10409F95-7B13-4185-BDBD-B2FB39CA292A}">
      <formula1>=IF(M448&lt;&gt;"",INDIRECT(VLOOKUP(M448,NgachLuongData,4,FALSE)),"")</formula1>
    </dataValidation>
    <dataValidation type="list" sqref="M449" xr:uid="{51297392-B1FD-4DC2-92C9-E3456F6C1A84}">
      <formula1>=IF(L449&lt;&gt;"",INDIRECT(VLOOKUP(L449,ThangLuongData,3,FALSE)),"")</formula1>
    </dataValidation>
    <dataValidation type="list" sqref="N449" xr:uid="{CD17E0F7-BFF5-4367-BB24-9F409DBD94A2}">
      <formula1>=IF(M449&lt;&gt;"",INDIRECT(VLOOKUP(M449,NgachLuongData,4,FALSE)),"")</formula1>
    </dataValidation>
    <dataValidation type="list" sqref="M450" xr:uid="{4E39DFCC-EE4F-4EBE-8AE2-5B71C59133BB}">
      <formula1>=IF(L450&lt;&gt;"",INDIRECT(VLOOKUP(L450,ThangLuongData,3,FALSE)),"")</formula1>
    </dataValidation>
    <dataValidation type="list" sqref="N450" xr:uid="{A395EFCB-D77D-4FF8-A211-DFE7330879E1}">
      <formula1>=IF(M450&lt;&gt;"",INDIRECT(VLOOKUP(M450,NgachLuongData,4,FALSE)),"")</formula1>
    </dataValidation>
    <dataValidation type="list" sqref="M451" xr:uid="{887DD1AE-180D-4114-8996-91513FF9DDEC}">
      <formula1>=IF(L451&lt;&gt;"",INDIRECT(VLOOKUP(L451,ThangLuongData,3,FALSE)),"")</formula1>
    </dataValidation>
    <dataValidation type="list" sqref="N451" xr:uid="{C48FE478-2D54-4FA7-B174-82CE618E6116}">
      <formula1>=IF(M451&lt;&gt;"",INDIRECT(VLOOKUP(M451,NgachLuongData,4,FALSE)),"")</formula1>
    </dataValidation>
    <dataValidation type="list" sqref="M452" xr:uid="{73E27750-A907-40FE-BB26-500764D8AA68}">
      <formula1>=IF(L452&lt;&gt;"",INDIRECT(VLOOKUP(L452,ThangLuongData,3,FALSE)),"")</formula1>
    </dataValidation>
    <dataValidation type="list" sqref="N452" xr:uid="{8307C4E1-6A33-4AAF-BCA3-24747AED471E}">
      <formula1>=IF(M452&lt;&gt;"",INDIRECT(VLOOKUP(M452,NgachLuongData,4,FALSE)),"")</formula1>
    </dataValidation>
    <dataValidation type="list" sqref="M453" xr:uid="{5FFDF808-3438-4307-8C6E-1F2C181EE72A}">
      <formula1>=IF(L453&lt;&gt;"",INDIRECT(VLOOKUP(L453,ThangLuongData,3,FALSE)),"")</formula1>
    </dataValidation>
    <dataValidation type="list" sqref="N453" xr:uid="{3E84FD33-F4C6-4949-BC2A-62768A4E6B2D}">
      <formula1>=IF(M453&lt;&gt;"",INDIRECT(VLOOKUP(M453,NgachLuongData,4,FALSE)),"")</formula1>
    </dataValidation>
    <dataValidation type="list" sqref="M454" xr:uid="{65164374-A27A-41DE-B100-770A8D243A40}">
      <formula1>=IF(L454&lt;&gt;"",INDIRECT(VLOOKUP(L454,ThangLuongData,3,FALSE)),"")</formula1>
    </dataValidation>
    <dataValidation type="list" sqref="N454" xr:uid="{1960A7FD-A930-44BC-A878-BBD5C56A6C99}">
      <formula1>=IF(M454&lt;&gt;"",INDIRECT(VLOOKUP(M454,NgachLuongData,4,FALSE)),"")</formula1>
    </dataValidation>
    <dataValidation type="list" sqref="M455" xr:uid="{B19F01DD-65D3-4AB4-9C3D-D45F937F3E3E}">
      <formula1>=IF(L455&lt;&gt;"",INDIRECT(VLOOKUP(L455,ThangLuongData,3,FALSE)),"")</formula1>
    </dataValidation>
    <dataValidation type="list" sqref="N455" xr:uid="{E6D5A0FF-C4A8-4663-BEB3-3E104DD76214}">
      <formula1>=IF(M455&lt;&gt;"",INDIRECT(VLOOKUP(M455,NgachLuongData,4,FALSE)),"")</formula1>
    </dataValidation>
    <dataValidation type="list" sqref="M456" xr:uid="{E3938ECE-8EE4-48A0-8F24-1BDB571D2A00}">
      <formula1>=IF(L456&lt;&gt;"",INDIRECT(VLOOKUP(L456,ThangLuongData,3,FALSE)),"")</formula1>
    </dataValidation>
    <dataValidation type="list" sqref="N456" xr:uid="{B7DE515D-DF10-40A8-911C-B0D4D87EB826}">
      <formula1>=IF(M456&lt;&gt;"",INDIRECT(VLOOKUP(M456,NgachLuongData,4,FALSE)),"")</formula1>
    </dataValidation>
    <dataValidation type="list" sqref="M457" xr:uid="{A63F0EE3-D135-40D1-A524-DAE09848384A}">
      <formula1>=IF(L457&lt;&gt;"",INDIRECT(VLOOKUP(L457,ThangLuongData,3,FALSE)),"")</formula1>
    </dataValidation>
    <dataValidation type="list" sqref="N457" xr:uid="{5B38E961-531E-453F-85AB-018549C9F89D}">
      <formula1>=IF(M457&lt;&gt;"",INDIRECT(VLOOKUP(M457,NgachLuongData,4,FALSE)),"")</formula1>
    </dataValidation>
    <dataValidation type="list" sqref="M458" xr:uid="{648DEC78-FB7B-4BDF-811B-FE9F132DED29}">
      <formula1>=IF(L458&lt;&gt;"",INDIRECT(VLOOKUP(L458,ThangLuongData,3,FALSE)),"")</formula1>
    </dataValidation>
    <dataValidation type="list" sqref="N458" xr:uid="{05F7180E-E38F-488D-86C7-23E6FEDD9366}">
      <formula1>=IF(M458&lt;&gt;"",INDIRECT(VLOOKUP(M458,NgachLuongData,4,FALSE)),"")</formula1>
    </dataValidation>
    <dataValidation type="list" sqref="M459" xr:uid="{3B875361-7C2E-4270-87D2-4BC1A5AD355A}">
      <formula1>=IF(L459&lt;&gt;"",INDIRECT(VLOOKUP(L459,ThangLuongData,3,FALSE)),"")</formula1>
    </dataValidation>
    <dataValidation type="list" sqref="N459" xr:uid="{664722EF-AABD-423A-8412-A6385A4FC1C1}">
      <formula1>=IF(M459&lt;&gt;"",INDIRECT(VLOOKUP(M459,NgachLuongData,4,FALSE)),"")</formula1>
    </dataValidation>
    <dataValidation type="list" sqref="M460" xr:uid="{289CDD6C-9A9A-40FC-95E3-4A813E67834C}">
      <formula1>=IF(L460&lt;&gt;"",INDIRECT(VLOOKUP(L460,ThangLuongData,3,FALSE)),"")</formula1>
    </dataValidation>
    <dataValidation type="list" sqref="N460" xr:uid="{824C779C-EA3F-4C99-AF77-F48EE087A5EC}">
      <formula1>=IF(M460&lt;&gt;"",INDIRECT(VLOOKUP(M460,NgachLuongData,4,FALSE)),"")</formula1>
    </dataValidation>
    <dataValidation type="list" sqref="M461" xr:uid="{5A32D4E6-7B18-4C06-A4CF-CE46B177D4CF}">
      <formula1>=IF(L461&lt;&gt;"",INDIRECT(VLOOKUP(L461,ThangLuongData,3,FALSE)),"")</formula1>
    </dataValidation>
    <dataValidation type="list" sqref="N461" xr:uid="{8D78AD93-7D23-4FE8-BCB7-BA99DC44EF4D}">
      <formula1>=IF(M461&lt;&gt;"",INDIRECT(VLOOKUP(M461,NgachLuongData,4,FALSE)),"")</formula1>
    </dataValidation>
    <dataValidation type="list" sqref="M462" xr:uid="{A188D203-493F-4FF2-9566-8BEC20666C99}">
      <formula1>=IF(L462&lt;&gt;"",INDIRECT(VLOOKUP(L462,ThangLuongData,3,FALSE)),"")</formula1>
    </dataValidation>
    <dataValidation type="list" sqref="N462" xr:uid="{550BD342-A8F2-4ABD-8B8D-258875147E55}">
      <formula1>=IF(M462&lt;&gt;"",INDIRECT(VLOOKUP(M462,NgachLuongData,4,FALSE)),"")</formula1>
    </dataValidation>
    <dataValidation type="list" sqref="M463" xr:uid="{8EE896AC-7C38-4D58-8B74-821A6E5CC3A0}">
      <formula1>=IF(L463&lt;&gt;"",INDIRECT(VLOOKUP(L463,ThangLuongData,3,FALSE)),"")</formula1>
    </dataValidation>
    <dataValidation type="list" sqref="N463" xr:uid="{2A230083-C36C-4CE6-81A8-58928DC35273}">
      <formula1>=IF(M463&lt;&gt;"",INDIRECT(VLOOKUP(M463,NgachLuongData,4,FALSE)),"")</formula1>
    </dataValidation>
    <dataValidation type="list" sqref="M464" xr:uid="{3A1D407C-A35A-4580-858B-3699B0F96619}">
      <formula1>=IF(L464&lt;&gt;"",INDIRECT(VLOOKUP(L464,ThangLuongData,3,FALSE)),"")</formula1>
    </dataValidation>
    <dataValidation type="list" sqref="N464" xr:uid="{183271BE-C055-4673-B84C-A23495B50E78}">
      <formula1>=IF(M464&lt;&gt;"",INDIRECT(VLOOKUP(M464,NgachLuongData,4,FALSE)),"")</formula1>
    </dataValidation>
    <dataValidation type="list" sqref="M465" xr:uid="{8B8AA890-B4D1-428C-B2EC-19ACFBC370A8}">
      <formula1>=IF(L465&lt;&gt;"",INDIRECT(VLOOKUP(L465,ThangLuongData,3,FALSE)),"")</formula1>
    </dataValidation>
    <dataValidation type="list" sqref="N465" xr:uid="{4168D765-B3D8-4909-ADB3-2EF28884F3CC}">
      <formula1>=IF(M465&lt;&gt;"",INDIRECT(VLOOKUP(M465,NgachLuongData,4,FALSE)),"")</formula1>
    </dataValidation>
    <dataValidation type="list" sqref="M466" xr:uid="{696DAC5F-D07C-4C11-AA94-302EFE4546BC}">
      <formula1>=IF(L466&lt;&gt;"",INDIRECT(VLOOKUP(L466,ThangLuongData,3,FALSE)),"")</formula1>
    </dataValidation>
    <dataValidation type="list" sqref="N466" xr:uid="{F589C36B-C427-4E86-A692-F5D6C99E38AE}">
      <formula1>=IF(M466&lt;&gt;"",INDIRECT(VLOOKUP(M466,NgachLuongData,4,FALSE)),"")</formula1>
    </dataValidation>
    <dataValidation type="list" sqref="M467" xr:uid="{82798D91-B3E5-43B5-B905-86DC50D4F2B3}">
      <formula1>=IF(L467&lt;&gt;"",INDIRECT(VLOOKUP(L467,ThangLuongData,3,FALSE)),"")</formula1>
    </dataValidation>
    <dataValidation type="list" sqref="N467" xr:uid="{DD92F440-DBF6-4477-A175-9224FA58D982}">
      <formula1>=IF(M467&lt;&gt;"",INDIRECT(VLOOKUP(M467,NgachLuongData,4,FALSE)),"")</formula1>
    </dataValidation>
    <dataValidation type="list" sqref="M468" xr:uid="{3FEC02F8-7829-434E-AD20-11FD59C1906A}">
      <formula1>=IF(L468&lt;&gt;"",INDIRECT(VLOOKUP(L468,ThangLuongData,3,FALSE)),"")</formula1>
    </dataValidation>
    <dataValidation type="list" sqref="N468" xr:uid="{1F22859A-995D-4AC6-89AA-EB746B410450}">
      <formula1>=IF(M468&lt;&gt;"",INDIRECT(VLOOKUP(M468,NgachLuongData,4,FALSE)),"")</formula1>
    </dataValidation>
    <dataValidation type="list" sqref="M469" xr:uid="{B14A80E9-A3BE-4299-AE7B-F238A2AA6F85}">
      <formula1>=IF(L469&lt;&gt;"",INDIRECT(VLOOKUP(L469,ThangLuongData,3,FALSE)),"")</formula1>
    </dataValidation>
    <dataValidation type="list" sqref="N469" xr:uid="{71461867-95D9-495B-A7A4-B9B990E23D2C}">
      <formula1>=IF(M469&lt;&gt;"",INDIRECT(VLOOKUP(M469,NgachLuongData,4,FALSE)),"")</formula1>
    </dataValidation>
    <dataValidation type="list" sqref="M470" xr:uid="{15C56E85-B594-45E1-A291-5E9FC4B4807A}">
      <formula1>=IF(L470&lt;&gt;"",INDIRECT(VLOOKUP(L470,ThangLuongData,3,FALSE)),"")</formula1>
    </dataValidation>
    <dataValidation type="list" sqref="N470" xr:uid="{DE4434A2-2C18-4137-BDC9-819ED3DF82B8}">
      <formula1>=IF(M470&lt;&gt;"",INDIRECT(VLOOKUP(M470,NgachLuongData,4,FALSE)),"")</formula1>
    </dataValidation>
    <dataValidation type="list" sqref="M471" xr:uid="{0E2D0BFD-1FFD-41B0-A2FD-3B0549330834}">
      <formula1>=IF(L471&lt;&gt;"",INDIRECT(VLOOKUP(L471,ThangLuongData,3,FALSE)),"")</formula1>
    </dataValidation>
    <dataValidation type="list" sqref="N471" xr:uid="{096938B8-408F-464C-B8FC-601042003212}">
      <formula1>=IF(M471&lt;&gt;"",INDIRECT(VLOOKUP(M471,NgachLuongData,4,FALSE)),"")</formula1>
    </dataValidation>
    <dataValidation type="list" sqref="M472" xr:uid="{CE716D8B-0AA8-4F7A-9FB5-D0A7326EFEE2}">
      <formula1>=IF(L472&lt;&gt;"",INDIRECT(VLOOKUP(L472,ThangLuongData,3,FALSE)),"")</formula1>
    </dataValidation>
    <dataValidation type="list" sqref="N472" xr:uid="{5F0F0E5B-CC3C-47DF-A385-E35008B7904E}">
      <formula1>=IF(M472&lt;&gt;"",INDIRECT(VLOOKUP(M472,NgachLuongData,4,FALSE)),"")</formula1>
    </dataValidation>
    <dataValidation type="list" sqref="M473" xr:uid="{D0F90AB9-EFBA-4B3A-9B78-F3F9811AA87D}">
      <formula1>=IF(L473&lt;&gt;"",INDIRECT(VLOOKUP(L473,ThangLuongData,3,FALSE)),"")</formula1>
    </dataValidation>
    <dataValidation type="list" sqref="N473" xr:uid="{3EA4E40A-D1EB-4A1E-A050-29AF70C317BD}">
      <formula1>=IF(M473&lt;&gt;"",INDIRECT(VLOOKUP(M473,NgachLuongData,4,FALSE)),"")</formula1>
    </dataValidation>
    <dataValidation type="list" sqref="M474" xr:uid="{4B2E467F-F472-4112-8677-29071DE5333D}">
      <formula1>=IF(L474&lt;&gt;"",INDIRECT(VLOOKUP(L474,ThangLuongData,3,FALSE)),"")</formula1>
    </dataValidation>
    <dataValidation type="list" sqref="N474" xr:uid="{DE8CD622-6EF3-4A56-8553-EBDE87F3066F}">
      <formula1>=IF(M474&lt;&gt;"",INDIRECT(VLOOKUP(M474,NgachLuongData,4,FALSE)),"")</formula1>
    </dataValidation>
    <dataValidation type="list" sqref="M475" xr:uid="{FBBFAA67-95DE-40FE-9ECC-9BB4E9BF91A3}">
      <formula1>=IF(L475&lt;&gt;"",INDIRECT(VLOOKUP(L475,ThangLuongData,3,FALSE)),"")</formula1>
    </dataValidation>
    <dataValidation type="list" sqref="N475" xr:uid="{C93AFBBA-5674-46E8-B4B7-14F83E7D30C1}">
      <formula1>=IF(M475&lt;&gt;"",INDIRECT(VLOOKUP(M475,NgachLuongData,4,FALSE)),"")</formula1>
    </dataValidation>
    <dataValidation type="list" sqref="M476" xr:uid="{ADDFC588-B48B-4B46-9192-49970A97FC30}">
      <formula1>=IF(L476&lt;&gt;"",INDIRECT(VLOOKUP(L476,ThangLuongData,3,FALSE)),"")</formula1>
    </dataValidation>
    <dataValidation type="list" sqref="N476" xr:uid="{2ECC61AE-E046-4EA4-ABBB-853000BD25C2}">
      <formula1>=IF(M476&lt;&gt;"",INDIRECT(VLOOKUP(M476,NgachLuongData,4,FALSE)),"")</formula1>
    </dataValidation>
    <dataValidation type="list" sqref="M477" xr:uid="{FF511774-8141-4B22-8A7C-606B04D45BDD}">
      <formula1>=IF(L477&lt;&gt;"",INDIRECT(VLOOKUP(L477,ThangLuongData,3,FALSE)),"")</formula1>
    </dataValidation>
    <dataValidation type="list" sqref="N477" xr:uid="{314D7E2B-32EA-4506-9AFD-7330CD9A8A43}">
      <formula1>=IF(M477&lt;&gt;"",INDIRECT(VLOOKUP(M477,NgachLuongData,4,FALSE)),"")</formula1>
    </dataValidation>
    <dataValidation type="list" sqref="M478" xr:uid="{C120911D-BB26-4079-AFB1-529BAE48ED3C}">
      <formula1>=IF(L478&lt;&gt;"",INDIRECT(VLOOKUP(L478,ThangLuongData,3,FALSE)),"")</formula1>
    </dataValidation>
    <dataValidation type="list" sqref="N478" xr:uid="{BD103EFB-AA06-42E0-A5AE-0D50C18A1CD8}">
      <formula1>=IF(M478&lt;&gt;"",INDIRECT(VLOOKUP(M478,NgachLuongData,4,FALSE)),"")</formula1>
    </dataValidation>
    <dataValidation type="list" sqref="M479" xr:uid="{C31D256E-CC74-4BBC-9AD5-8C92CC0455B9}">
      <formula1>=IF(L479&lt;&gt;"",INDIRECT(VLOOKUP(L479,ThangLuongData,3,FALSE)),"")</formula1>
    </dataValidation>
    <dataValidation type="list" sqref="N479" xr:uid="{F567B97B-F07D-459C-903D-D66AA7EC42C6}">
      <formula1>=IF(M479&lt;&gt;"",INDIRECT(VLOOKUP(M479,NgachLuongData,4,FALSE)),"")</formula1>
    </dataValidation>
    <dataValidation type="list" sqref="M480" xr:uid="{990E348A-68F0-4E28-AC5D-E3186658F2CD}">
      <formula1>=IF(L480&lt;&gt;"",INDIRECT(VLOOKUP(L480,ThangLuongData,3,FALSE)),"")</formula1>
    </dataValidation>
    <dataValidation type="list" sqref="N480" xr:uid="{97A608FA-BDB7-4FAF-8F78-825941294A4D}">
      <formula1>=IF(M480&lt;&gt;"",INDIRECT(VLOOKUP(M480,NgachLuongData,4,FALSE)),"")</formula1>
    </dataValidation>
    <dataValidation type="list" sqref="M481" xr:uid="{BD8CF5AC-E1D3-4477-A8F5-515B575A2CDF}">
      <formula1>=IF(L481&lt;&gt;"",INDIRECT(VLOOKUP(L481,ThangLuongData,3,FALSE)),"")</formula1>
    </dataValidation>
    <dataValidation type="list" sqref="N481" xr:uid="{066F6F1E-2EAD-4FF7-8484-85E1A003555B}">
      <formula1>=IF(M481&lt;&gt;"",INDIRECT(VLOOKUP(M481,NgachLuongData,4,FALSE)),"")</formula1>
    </dataValidation>
    <dataValidation type="list" sqref="M482" xr:uid="{F38810E2-99BC-4977-B5A3-FEABC1AF44E0}">
      <formula1>=IF(L482&lt;&gt;"",INDIRECT(VLOOKUP(L482,ThangLuongData,3,FALSE)),"")</formula1>
    </dataValidation>
    <dataValidation type="list" sqref="N482" xr:uid="{07D33B4A-E479-40DD-8508-FE2EEC667ED7}">
      <formula1>=IF(M482&lt;&gt;"",INDIRECT(VLOOKUP(M482,NgachLuongData,4,FALSE)),"")</formula1>
    </dataValidation>
    <dataValidation type="list" sqref="M483" xr:uid="{DB906A84-D9A6-4D9B-B578-70FD55B3575B}">
      <formula1>=IF(L483&lt;&gt;"",INDIRECT(VLOOKUP(L483,ThangLuongData,3,FALSE)),"")</formula1>
    </dataValidation>
    <dataValidation type="list" sqref="N483" xr:uid="{6FDCFF9F-13D9-43BE-92F7-AE82DB266799}">
      <formula1>=IF(M483&lt;&gt;"",INDIRECT(VLOOKUP(M483,NgachLuongData,4,FALSE)),"")</formula1>
    </dataValidation>
    <dataValidation type="list" sqref="M484" xr:uid="{75FF48E2-88FF-4477-898E-4416C5F6E235}">
      <formula1>=IF(L484&lt;&gt;"",INDIRECT(VLOOKUP(L484,ThangLuongData,3,FALSE)),"")</formula1>
    </dataValidation>
    <dataValidation type="list" sqref="N484" xr:uid="{BEA551E8-37AE-4CF5-9A06-D77351CBEB1A}">
      <formula1>=IF(M484&lt;&gt;"",INDIRECT(VLOOKUP(M484,NgachLuongData,4,FALSE)),"")</formula1>
    </dataValidation>
    <dataValidation type="list" sqref="M485" xr:uid="{8CC5D95E-4E68-4315-8A71-18E2A46B75B9}">
      <formula1>=IF(L485&lt;&gt;"",INDIRECT(VLOOKUP(L485,ThangLuongData,3,FALSE)),"")</formula1>
    </dataValidation>
    <dataValidation type="list" sqref="N485" xr:uid="{F5F6EF19-DFBB-45EA-8B57-81D8974D8BB6}">
      <formula1>=IF(M485&lt;&gt;"",INDIRECT(VLOOKUP(M485,NgachLuongData,4,FALSE)),"")</formula1>
    </dataValidation>
    <dataValidation type="list" sqref="M486" xr:uid="{B2C909A5-94C0-4743-9F84-E2ACFE7509A3}">
      <formula1>=IF(L486&lt;&gt;"",INDIRECT(VLOOKUP(L486,ThangLuongData,3,FALSE)),"")</formula1>
    </dataValidation>
    <dataValidation type="list" sqref="N486" xr:uid="{564AA1FD-2DF8-4614-9057-3641B69F26E8}">
      <formula1>=IF(M486&lt;&gt;"",INDIRECT(VLOOKUP(M486,NgachLuongData,4,FALSE)),"")</formula1>
    </dataValidation>
    <dataValidation type="list" sqref="M487" xr:uid="{9AF6B54F-E587-4A29-A304-AB7C8BE74911}">
      <formula1>=IF(L487&lt;&gt;"",INDIRECT(VLOOKUP(L487,ThangLuongData,3,FALSE)),"")</formula1>
    </dataValidation>
    <dataValidation type="list" sqref="N487" xr:uid="{4C54BC82-F3C2-48AB-9E91-4C1F79B774E2}">
      <formula1>=IF(M487&lt;&gt;"",INDIRECT(VLOOKUP(M487,NgachLuongData,4,FALSE)),"")</formula1>
    </dataValidation>
    <dataValidation type="list" sqref="M488" xr:uid="{22DBB2D8-35FF-40CB-8D1C-BCF7E50B2A56}">
      <formula1>=IF(L488&lt;&gt;"",INDIRECT(VLOOKUP(L488,ThangLuongData,3,FALSE)),"")</formula1>
    </dataValidation>
    <dataValidation type="list" sqref="N488" xr:uid="{5BF383BB-5379-4B47-9B9E-F8470668AB7B}">
      <formula1>=IF(M488&lt;&gt;"",INDIRECT(VLOOKUP(M488,NgachLuongData,4,FALSE)),"")</formula1>
    </dataValidation>
    <dataValidation type="list" sqref="M489" xr:uid="{44B59F3F-C0FB-4D74-BE88-15DDD018B818}">
      <formula1>=IF(L489&lt;&gt;"",INDIRECT(VLOOKUP(L489,ThangLuongData,3,FALSE)),"")</formula1>
    </dataValidation>
    <dataValidation type="list" sqref="N489" xr:uid="{7BE16630-71FE-42AC-83C0-B3C9E3826CE4}">
      <formula1>=IF(M489&lt;&gt;"",INDIRECT(VLOOKUP(M489,NgachLuongData,4,FALSE)),"")</formula1>
    </dataValidation>
    <dataValidation type="list" sqref="M490" xr:uid="{E4EC5017-73D1-4D96-AFDB-B8D6F4D4E6CE}">
      <formula1>=IF(L490&lt;&gt;"",INDIRECT(VLOOKUP(L490,ThangLuongData,3,FALSE)),"")</formula1>
    </dataValidation>
    <dataValidation type="list" sqref="N490" xr:uid="{50222D99-19DD-4050-8B03-AE6F60D285F5}">
      <formula1>=IF(M490&lt;&gt;"",INDIRECT(VLOOKUP(M490,NgachLuongData,4,FALSE)),"")</formula1>
    </dataValidation>
    <dataValidation type="list" sqref="M491" xr:uid="{E1AE35E0-0348-425B-9A3C-B4F1FFC2957F}">
      <formula1>=IF(L491&lt;&gt;"",INDIRECT(VLOOKUP(L491,ThangLuongData,3,FALSE)),"")</formula1>
    </dataValidation>
    <dataValidation type="list" sqref="N491" xr:uid="{298C3BD2-2E67-4946-BF7B-E839E8F52B98}">
      <formula1>=IF(M491&lt;&gt;"",INDIRECT(VLOOKUP(M491,NgachLuongData,4,FALSE)),"")</formula1>
    </dataValidation>
    <dataValidation type="list" sqref="M492" xr:uid="{4DEBE82F-C079-4809-A35B-EC93FE9319D8}">
      <formula1>=IF(L492&lt;&gt;"",INDIRECT(VLOOKUP(L492,ThangLuongData,3,FALSE)),"")</formula1>
    </dataValidation>
    <dataValidation type="list" sqref="N492" xr:uid="{9923626E-B123-4AF2-B5E5-EACBBC2B5C15}">
      <formula1>=IF(M492&lt;&gt;"",INDIRECT(VLOOKUP(M492,NgachLuongData,4,FALSE)),"")</formula1>
    </dataValidation>
    <dataValidation type="list" sqref="M493" xr:uid="{A5778D31-D4CF-4786-9F44-F6ADA6EE3461}">
      <formula1>=IF(L493&lt;&gt;"",INDIRECT(VLOOKUP(L493,ThangLuongData,3,FALSE)),"")</formula1>
    </dataValidation>
    <dataValidation type="list" sqref="N493" xr:uid="{0ACD5337-8E50-4DFE-A334-E116643C2C1E}">
      <formula1>=IF(M493&lt;&gt;"",INDIRECT(VLOOKUP(M493,NgachLuongData,4,FALSE)),"")</formula1>
    </dataValidation>
    <dataValidation type="list" sqref="M494" xr:uid="{59504A9C-474E-4522-9769-4985A0B450E7}">
      <formula1>=IF(L494&lt;&gt;"",INDIRECT(VLOOKUP(L494,ThangLuongData,3,FALSE)),"")</formula1>
    </dataValidation>
    <dataValidation type="list" sqref="N494" xr:uid="{55097C06-1FE1-46D6-9AC5-BC272B684788}">
      <formula1>=IF(M494&lt;&gt;"",INDIRECT(VLOOKUP(M494,NgachLuongData,4,FALSE)),"")</formula1>
    </dataValidation>
    <dataValidation type="list" sqref="M495" xr:uid="{16D1DCAB-1C7A-492B-95D0-B010FD921F1D}">
      <formula1>=IF(L495&lt;&gt;"",INDIRECT(VLOOKUP(L495,ThangLuongData,3,FALSE)),"")</formula1>
    </dataValidation>
    <dataValidation type="list" sqref="N495" xr:uid="{8A4F9EE7-25F8-4BEB-AAAD-06C87CEA9C51}">
      <formula1>=IF(M495&lt;&gt;"",INDIRECT(VLOOKUP(M495,NgachLuongData,4,FALSE)),"")</formula1>
    </dataValidation>
    <dataValidation type="list" sqref="M496" xr:uid="{7E12DE59-5528-4BFD-A8A0-8EBB2F73CE98}">
      <formula1>=IF(L496&lt;&gt;"",INDIRECT(VLOOKUP(L496,ThangLuongData,3,FALSE)),"")</formula1>
    </dataValidation>
    <dataValidation type="list" sqref="N496" xr:uid="{086D613C-5A9E-45D3-9F21-3DAEE969803D}">
      <formula1>=IF(M496&lt;&gt;"",INDIRECT(VLOOKUP(M496,NgachLuongData,4,FALSE)),"")</formula1>
    </dataValidation>
    <dataValidation type="list" sqref="M497" xr:uid="{E5C41F61-2BE6-42CE-AF33-5E677D9CF351}">
      <formula1>=IF(L497&lt;&gt;"",INDIRECT(VLOOKUP(L497,ThangLuongData,3,FALSE)),"")</formula1>
    </dataValidation>
    <dataValidation type="list" sqref="N497" xr:uid="{7A17DEBE-EC46-47F9-8505-518AB3091FF3}">
      <formula1>=IF(M497&lt;&gt;"",INDIRECT(VLOOKUP(M497,NgachLuongData,4,FALSE)),"")</formula1>
    </dataValidation>
    <dataValidation type="list" sqref="M498" xr:uid="{5B3D8C92-91F8-4246-93B4-186DC378FD91}">
      <formula1>=IF(L498&lt;&gt;"",INDIRECT(VLOOKUP(L498,ThangLuongData,3,FALSE)),"")</formula1>
    </dataValidation>
    <dataValidation type="list" sqref="N498" xr:uid="{0AA74A29-E5EE-4C6A-8B10-7F38C215AE2B}">
      <formula1>=IF(M498&lt;&gt;"",INDIRECT(VLOOKUP(M498,NgachLuongData,4,FALSE)),"")</formula1>
    </dataValidation>
    <dataValidation type="list" sqref="M499" xr:uid="{5FFE2F22-EB17-464A-A6BD-0EDEB1427841}">
      <formula1>=IF(L499&lt;&gt;"",INDIRECT(VLOOKUP(L499,ThangLuongData,3,FALSE)),"")</formula1>
    </dataValidation>
    <dataValidation type="list" sqref="N499" xr:uid="{5FD4191B-F6F6-4D92-922D-7BB360647D13}">
      <formula1>=IF(M499&lt;&gt;"",INDIRECT(VLOOKUP(M499,NgachLuongData,4,FALSE)),"")</formula1>
    </dataValidation>
    <dataValidation type="list" sqref="M500" xr:uid="{AB5B453C-6ADB-45AB-86B3-A3C798396C9A}">
      <formula1>=IF(L500&lt;&gt;"",INDIRECT(VLOOKUP(L500,ThangLuongData,3,FALSE)),"")</formula1>
    </dataValidation>
    <dataValidation type="list" sqref="N500" xr:uid="{51F832D0-062D-4F26-989E-0A9D0EE11FE9}">
      <formula1>=IF(M500&lt;&gt;"",INDIRECT(VLOOKUP(M500,NgachLuongData,4,FALSE)),"")</formula1>
    </dataValidation>
    <dataValidation type="list" sqref="M501" xr:uid="{E431481D-AB26-4F47-9538-1664435554F3}">
      <formula1>=IF(L501&lt;&gt;"",INDIRECT(VLOOKUP(L501,ThangLuongData,3,FALSE)),"")</formula1>
    </dataValidation>
    <dataValidation type="list" sqref="N501" xr:uid="{161654E1-D144-4D27-B9B5-3F49FB9A3DF9}">
      <formula1>=IF(M501&lt;&gt;"",INDIRECT(VLOOKUP(M501,NgachLuongData,4,FALSE)),"")</formula1>
    </dataValidation>
    <dataValidation type="list" sqref="M502" xr:uid="{F62E4768-657B-4B43-B438-50AB6EFDF918}">
      <formula1>=IF(L502&lt;&gt;"",INDIRECT(VLOOKUP(L502,ThangLuongData,3,FALSE)),"")</formula1>
    </dataValidation>
    <dataValidation type="list" sqref="N502" xr:uid="{DED235C8-8CA9-4BFE-AD77-97FBBB1E0988}">
      <formula1>=IF(M502&lt;&gt;"",INDIRECT(VLOOKUP(M502,NgachLuongData,4,FALSE)),"")</formula1>
    </dataValidation>
    <dataValidation type="list" sqref="M503" xr:uid="{7F05C88A-D60F-47E6-9A61-66FF580132BE}">
      <formula1>=IF(L503&lt;&gt;"",INDIRECT(VLOOKUP(L503,ThangLuongData,3,FALSE)),"")</formula1>
    </dataValidation>
    <dataValidation type="list" sqref="N503" xr:uid="{8D52C71C-B310-48C3-9126-551036F610D5}">
      <formula1>=IF(M503&lt;&gt;"",INDIRECT(VLOOKUP(M503,NgachLuongData,4,FALSE)),"")</formula1>
    </dataValidation>
    <dataValidation type="list" sqref="M504" xr:uid="{2DB8A9C5-752E-4EDE-AB54-2EA27A257C40}">
      <formula1>=IF(L504&lt;&gt;"",INDIRECT(VLOOKUP(L504,ThangLuongData,3,FALSE)),"")</formula1>
    </dataValidation>
    <dataValidation type="list" sqref="N504" xr:uid="{4FF81160-81E7-4E56-971C-CD64847588B2}">
      <formula1>=IF(M504&lt;&gt;"",INDIRECT(VLOOKUP(M504,NgachLuongData,4,FALSE)),"")</formula1>
    </dataValidation>
    <dataValidation type="list" sqref="M505" xr:uid="{5EAA9796-ECD4-4ABA-BB33-6625030CAF5F}">
      <formula1>=IF(L505&lt;&gt;"",INDIRECT(VLOOKUP(L505,ThangLuongData,3,FALSE)),"")</formula1>
    </dataValidation>
    <dataValidation type="list" sqref="N505" xr:uid="{A30A5463-04C7-4F12-A4DE-639E0D73954D}">
      <formula1>=IF(M505&lt;&gt;"",INDIRECT(VLOOKUP(M505,NgachLuongData,4,FALSE)),"")</formula1>
    </dataValidation>
    <dataValidation type="list" sqref="M506" xr:uid="{48F529A5-019B-49C1-95D6-D94382679CEE}">
      <formula1>=IF(L506&lt;&gt;"",INDIRECT(VLOOKUP(L506,ThangLuongData,3,FALSE)),"")</formula1>
    </dataValidation>
    <dataValidation type="list" sqref="N506" xr:uid="{BF316C9B-D20D-47D1-B69B-D1EC3F4B1280}">
      <formula1>=IF(M506&lt;&gt;"",INDIRECT(VLOOKUP(M506,NgachLuongData,4,FALSE)),"")</formula1>
    </dataValidation>
    <dataValidation type="list" sqref="M507" xr:uid="{FE980BE9-1B81-4E02-AACC-BE02521D26FF}">
      <formula1>=IF(L507&lt;&gt;"",INDIRECT(VLOOKUP(L507,ThangLuongData,3,FALSE)),"")</formula1>
    </dataValidation>
    <dataValidation type="list" sqref="N507" xr:uid="{61ACB313-CCF8-449C-8D8C-6E1DB667A498}">
      <formula1>=IF(M507&lt;&gt;"",INDIRECT(VLOOKUP(M507,NgachLuongData,4,FALSE)),"")</formula1>
    </dataValidation>
    <dataValidation type="list" sqref="M508" xr:uid="{C448E205-0988-4CB4-8BCE-464E2305239E}">
      <formula1>=IF(L508&lt;&gt;"",INDIRECT(VLOOKUP(L508,ThangLuongData,3,FALSE)),"")</formula1>
    </dataValidation>
    <dataValidation type="list" sqref="N508" xr:uid="{AC1F7A61-B88F-4F05-BC29-64AE7F5112C0}">
      <formula1>=IF(M508&lt;&gt;"",INDIRECT(VLOOKUP(M508,NgachLuongData,4,FALSE)),"")</formula1>
    </dataValidation>
    <dataValidation type="list" sqref="M509" xr:uid="{77F1F797-EA57-47C1-9590-901F01DD9FFC}">
      <formula1>=IF(L509&lt;&gt;"",INDIRECT(VLOOKUP(L509,ThangLuongData,3,FALSE)),"")</formula1>
    </dataValidation>
    <dataValidation type="list" sqref="N509" xr:uid="{25770055-6C45-4AA9-A6F3-16D32B4C55BD}">
      <formula1>=IF(M509&lt;&gt;"",INDIRECT(VLOOKUP(M509,NgachLuongData,4,FALSE)),"")</formula1>
    </dataValidation>
    <dataValidation type="list" sqref="M510" xr:uid="{0EA385DE-845E-4207-A229-3863B1CC684E}">
      <formula1>=IF(L510&lt;&gt;"",INDIRECT(VLOOKUP(L510,ThangLuongData,3,FALSE)),"")</formula1>
    </dataValidation>
    <dataValidation type="list" sqref="N510" xr:uid="{96A91E4D-67D8-4A7F-91A7-9BE7780BEF62}">
      <formula1>=IF(M510&lt;&gt;"",INDIRECT(VLOOKUP(M510,NgachLuongData,4,FALSE)),"")</formula1>
    </dataValidation>
    <dataValidation type="list" sqref="M511" xr:uid="{47FD5C26-B0B9-4EF4-B76B-A8CBE80FF46B}">
      <formula1>=IF(L511&lt;&gt;"",INDIRECT(VLOOKUP(L511,ThangLuongData,3,FALSE)),"")</formula1>
    </dataValidation>
    <dataValidation type="list" sqref="N511" xr:uid="{5374D8B8-A329-4B68-8F43-DCB2C2F550B0}">
      <formula1>=IF(M511&lt;&gt;"",INDIRECT(VLOOKUP(M511,NgachLuongData,4,FALSE)),"")</formula1>
    </dataValidation>
    <dataValidation type="list" sqref="M512" xr:uid="{C337350E-F31B-4A03-A2AB-73AC8D33AA27}">
      <formula1>=IF(L512&lt;&gt;"",INDIRECT(VLOOKUP(L512,ThangLuongData,3,FALSE)),"")</formula1>
    </dataValidation>
    <dataValidation type="list" sqref="N512" xr:uid="{F72C2CBF-2EDA-4905-87A1-D0C687BE166A}">
      <formula1>=IF(M512&lt;&gt;"",INDIRECT(VLOOKUP(M512,NgachLuongData,4,FALSE)),"")</formula1>
    </dataValidation>
    <dataValidation type="list" sqref="M513" xr:uid="{29C7584B-F097-40ED-95A5-A327A3B9E286}">
      <formula1>=IF(L513&lt;&gt;"",INDIRECT(VLOOKUP(L513,ThangLuongData,3,FALSE)),"")</formula1>
    </dataValidation>
    <dataValidation type="list" sqref="N513" xr:uid="{BC642C61-AC66-4EC2-B5D6-A2EADE9B944B}">
      <formula1>=IF(M513&lt;&gt;"",INDIRECT(VLOOKUP(M513,NgachLuongData,4,FALSE)),"")</formula1>
    </dataValidation>
    <dataValidation type="list" sqref="M514" xr:uid="{BA8D859F-AC12-4ED3-8002-5A220BF2B6B4}">
      <formula1>=IF(L514&lt;&gt;"",INDIRECT(VLOOKUP(L514,ThangLuongData,3,FALSE)),"")</formula1>
    </dataValidation>
    <dataValidation type="list" sqref="N514" xr:uid="{0CE009C2-BA0A-4AFD-A08F-8AFAFBEBC0DD}">
      <formula1>=IF(M514&lt;&gt;"",INDIRECT(VLOOKUP(M514,NgachLuongData,4,FALSE)),"")</formula1>
    </dataValidation>
    <dataValidation type="list" sqref="M515" xr:uid="{FF9F5EFD-53AC-477F-A7B1-9FE18B19585E}">
      <formula1>=IF(L515&lt;&gt;"",INDIRECT(VLOOKUP(L515,ThangLuongData,3,FALSE)),"")</formula1>
    </dataValidation>
    <dataValidation type="list" sqref="N515" xr:uid="{1A3D77DA-2955-4862-BDDD-462B1F39EF8E}">
      <formula1>=IF(M515&lt;&gt;"",INDIRECT(VLOOKUP(M515,NgachLuongData,4,FALSE)),"")</formula1>
    </dataValidation>
    <dataValidation type="list" sqref="M516" xr:uid="{14B926F3-C751-4927-87DA-193DF8284E36}">
      <formula1>=IF(L516&lt;&gt;"",INDIRECT(VLOOKUP(L516,ThangLuongData,3,FALSE)),"")</formula1>
    </dataValidation>
    <dataValidation type="list" sqref="N516" xr:uid="{2B54AEC9-FF40-4176-98B4-52B27CCB308C}">
      <formula1>=IF(M516&lt;&gt;"",INDIRECT(VLOOKUP(M516,NgachLuongData,4,FALSE)),"")</formula1>
    </dataValidation>
    <dataValidation type="list" sqref="M517" xr:uid="{444E4F20-8EAC-40ED-886D-E140619ECF06}">
      <formula1>=IF(L517&lt;&gt;"",INDIRECT(VLOOKUP(L517,ThangLuongData,3,FALSE)),"")</formula1>
    </dataValidation>
    <dataValidation type="list" sqref="N517" xr:uid="{885D16C7-A59F-4BC5-8BA3-D9B7A1458D11}">
      <formula1>=IF(M517&lt;&gt;"",INDIRECT(VLOOKUP(M517,NgachLuongData,4,FALSE)),"")</formula1>
    </dataValidation>
    <dataValidation type="list" sqref="M518" xr:uid="{A9D3FDE5-3D20-410F-952B-FB6DA4434660}">
      <formula1>=IF(L518&lt;&gt;"",INDIRECT(VLOOKUP(L518,ThangLuongData,3,FALSE)),"")</formula1>
    </dataValidation>
    <dataValidation type="list" sqref="N518" xr:uid="{AFEB23ED-03B7-4EA0-8AF4-A65B9BBD7D73}">
      <formula1>=IF(M518&lt;&gt;"",INDIRECT(VLOOKUP(M518,NgachLuongData,4,FALSE)),"")</formula1>
    </dataValidation>
    <dataValidation type="list" sqref="M519" xr:uid="{EC630B6C-54FE-454A-9070-1F6AED0AAA17}">
      <formula1>=IF(L519&lt;&gt;"",INDIRECT(VLOOKUP(L519,ThangLuongData,3,FALSE)),"")</formula1>
    </dataValidation>
    <dataValidation type="list" sqref="N519" xr:uid="{24D9C14D-EA27-4C94-BA79-4AAE445C6E96}">
      <formula1>=IF(M519&lt;&gt;"",INDIRECT(VLOOKUP(M519,NgachLuongData,4,FALSE)),"")</formula1>
    </dataValidation>
    <dataValidation type="list" sqref="M520" xr:uid="{C5B55881-A93E-4EA2-B0E7-0AEBF66E153C}">
      <formula1>=IF(L520&lt;&gt;"",INDIRECT(VLOOKUP(L520,ThangLuongData,3,FALSE)),"")</formula1>
    </dataValidation>
    <dataValidation type="list" sqref="N520" xr:uid="{15A27F35-3F99-42F3-8668-2E732B0E145A}">
      <formula1>=IF(M520&lt;&gt;"",INDIRECT(VLOOKUP(M520,NgachLuongData,4,FALSE)),"")</formula1>
    </dataValidation>
    <dataValidation type="list" sqref="M521" xr:uid="{1DB6F607-BBB8-4B90-BFB8-1EE95D0DF1AC}">
      <formula1>=IF(L521&lt;&gt;"",INDIRECT(VLOOKUP(L521,ThangLuongData,3,FALSE)),"")</formula1>
    </dataValidation>
    <dataValidation type="list" sqref="N521" xr:uid="{18C12FC7-E3DD-41C0-AA1D-C0B98A0BA64B}">
      <formula1>=IF(M521&lt;&gt;"",INDIRECT(VLOOKUP(M521,NgachLuongData,4,FALSE)),"")</formula1>
    </dataValidation>
    <dataValidation type="list" sqref="M522" xr:uid="{C3DB9727-8BB5-4741-AF45-189DCC4ECBC1}">
      <formula1>=IF(L522&lt;&gt;"",INDIRECT(VLOOKUP(L522,ThangLuongData,3,FALSE)),"")</formula1>
    </dataValidation>
    <dataValidation type="list" sqref="N522" xr:uid="{B30173CE-2E0D-465F-B2F6-FD73016BD723}">
      <formula1>=IF(M522&lt;&gt;"",INDIRECT(VLOOKUP(M522,NgachLuongData,4,FALSE)),"")</formula1>
    </dataValidation>
    <dataValidation type="list" sqref="M523" xr:uid="{B5ED755B-8311-4D61-97F7-862F2008FC30}">
      <formula1>=IF(L523&lt;&gt;"",INDIRECT(VLOOKUP(L523,ThangLuongData,3,FALSE)),"")</formula1>
    </dataValidation>
    <dataValidation type="list" sqref="N523" xr:uid="{BBD6F3FC-553B-4DA5-BF99-B58A1AF0EAF8}">
      <formula1>=IF(M523&lt;&gt;"",INDIRECT(VLOOKUP(M523,NgachLuongData,4,FALSE)),"")</formula1>
    </dataValidation>
    <dataValidation type="list" sqref="M524" xr:uid="{98227A83-CC86-4E9B-B3D2-6837D337B097}">
      <formula1>=IF(L524&lt;&gt;"",INDIRECT(VLOOKUP(L524,ThangLuongData,3,FALSE)),"")</formula1>
    </dataValidation>
    <dataValidation type="list" sqref="N524" xr:uid="{08D0C4CC-0080-4F3F-B55C-75AC7C8507D7}">
      <formula1>=IF(M524&lt;&gt;"",INDIRECT(VLOOKUP(M524,NgachLuongData,4,FALSE)),"")</formula1>
    </dataValidation>
    <dataValidation type="list" sqref="M525" xr:uid="{10E05FDD-F0C7-48A8-B013-87D427194BCD}">
      <formula1>=IF(L525&lt;&gt;"",INDIRECT(VLOOKUP(L525,ThangLuongData,3,FALSE)),"")</formula1>
    </dataValidation>
    <dataValidation type="list" sqref="N525" xr:uid="{1615A67D-366A-4880-9703-111BFE7FA665}">
      <formula1>=IF(M525&lt;&gt;"",INDIRECT(VLOOKUP(M525,NgachLuongData,4,FALSE)),"")</formula1>
    </dataValidation>
    <dataValidation type="list" sqref="M526" xr:uid="{10670201-34D8-4313-A7EB-BB66209612A4}">
      <formula1>=IF(L526&lt;&gt;"",INDIRECT(VLOOKUP(L526,ThangLuongData,3,FALSE)),"")</formula1>
    </dataValidation>
    <dataValidation type="list" sqref="N526" xr:uid="{A1BFFB52-4ADD-4673-9C84-8703423FC01A}">
      <formula1>=IF(M526&lt;&gt;"",INDIRECT(VLOOKUP(M526,NgachLuongData,4,FALSE)),"")</formula1>
    </dataValidation>
    <dataValidation type="list" sqref="M527" xr:uid="{F0F3C843-5701-4916-87AA-3ABB02766363}">
      <formula1>=IF(L527&lt;&gt;"",INDIRECT(VLOOKUP(L527,ThangLuongData,3,FALSE)),"")</formula1>
    </dataValidation>
    <dataValidation type="list" sqref="N527" xr:uid="{31EBA332-329E-4A26-A235-935C0FAF8844}">
      <formula1>=IF(M527&lt;&gt;"",INDIRECT(VLOOKUP(M527,NgachLuongData,4,FALSE)),"")</formula1>
    </dataValidation>
    <dataValidation type="list" sqref="M528" xr:uid="{EE477648-4039-4E6C-8B13-22E82AB975CA}">
      <formula1>=IF(L528&lt;&gt;"",INDIRECT(VLOOKUP(L528,ThangLuongData,3,FALSE)),"")</formula1>
    </dataValidation>
    <dataValidation type="list" sqref="N528" xr:uid="{BBF71CF2-B93C-4867-8C7B-687617DFB851}">
      <formula1>=IF(M528&lt;&gt;"",INDIRECT(VLOOKUP(M528,NgachLuongData,4,FALSE)),"")</formula1>
    </dataValidation>
    <dataValidation type="list" sqref="M529" xr:uid="{5D88E7E6-C57B-4601-9CDF-3C12F9491066}">
      <formula1>=IF(L529&lt;&gt;"",INDIRECT(VLOOKUP(L529,ThangLuongData,3,FALSE)),"")</formula1>
    </dataValidation>
    <dataValidation type="list" sqref="N529" xr:uid="{1F78A032-F15A-46EA-A003-E2A8B2F34AEB}">
      <formula1>=IF(M529&lt;&gt;"",INDIRECT(VLOOKUP(M529,NgachLuongData,4,FALSE)),"")</formula1>
    </dataValidation>
    <dataValidation type="list" sqref="M530" xr:uid="{62D59E4F-69FD-44B3-8EC7-B96822C1628E}">
      <formula1>=IF(L530&lt;&gt;"",INDIRECT(VLOOKUP(L530,ThangLuongData,3,FALSE)),"")</formula1>
    </dataValidation>
    <dataValidation type="list" sqref="N530" xr:uid="{559DA34F-98CB-4BB5-82B9-489B2B53E90A}">
      <formula1>=IF(M530&lt;&gt;"",INDIRECT(VLOOKUP(M530,NgachLuongData,4,FALSE)),"")</formula1>
    </dataValidation>
    <dataValidation type="list" sqref="M531" xr:uid="{890373E8-B5BD-4401-9494-60EBBEC0A529}">
      <formula1>=IF(L531&lt;&gt;"",INDIRECT(VLOOKUP(L531,ThangLuongData,3,FALSE)),"")</formula1>
    </dataValidation>
    <dataValidation type="list" sqref="N531" xr:uid="{D2E01FDB-1EFB-4FBF-B49C-EF7407466069}">
      <formula1>=IF(M531&lt;&gt;"",INDIRECT(VLOOKUP(M531,NgachLuongData,4,FALSE)),"")</formula1>
    </dataValidation>
    <dataValidation type="list" sqref="M532" xr:uid="{0DB31ED6-BED4-4261-B8CF-C9D449547F7D}">
      <formula1>=IF(L532&lt;&gt;"",INDIRECT(VLOOKUP(L532,ThangLuongData,3,FALSE)),"")</formula1>
    </dataValidation>
    <dataValidation type="list" sqref="N532" xr:uid="{A314E782-DBA3-41C3-BAE0-14B6FF84B35D}">
      <formula1>=IF(M532&lt;&gt;"",INDIRECT(VLOOKUP(M532,NgachLuongData,4,FALSE)),"")</formula1>
    </dataValidation>
    <dataValidation type="list" sqref="M533" xr:uid="{65B20E7B-590D-4713-951B-2301DF21C053}">
      <formula1>=IF(L533&lt;&gt;"",INDIRECT(VLOOKUP(L533,ThangLuongData,3,FALSE)),"")</formula1>
    </dataValidation>
    <dataValidation type="list" sqref="N533" xr:uid="{446FC541-1475-49D0-958A-6A4E6F52C647}">
      <formula1>=IF(M533&lt;&gt;"",INDIRECT(VLOOKUP(M533,NgachLuongData,4,FALSE)),"")</formula1>
    </dataValidation>
    <dataValidation type="list" sqref="M534" xr:uid="{6804E42D-9D2B-48C3-B272-43D741D16858}">
      <formula1>=IF(L534&lt;&gt;"",INDIRECT(VLOOKUP(L534,ThangLuongData,3,FALSE)),"")</formula1>
    </dataValidation>
    <dataValidation type="list" sqref="N534" xr:uid="{2F5354A4-6534-4B29-B69B-02D48433D133}">
      <formula1>=IF(M534&lt;&gt;"",INDIRECT(VLOOKUP(M534,NgachLuongData,4,FALSE)),"")</formula1>
    </dataValidation>
    <dataValidation type="list" sqref="M535" xr:uid="{DDFE8610-F0CA-4B9C-A91C-6E19F353DF43}">
      <formula1>=IF(L535&lt;&gt;"",INDIRECT(VLOOKUP(L535,ThangLuongData,3,FALSE)),"")</formula1>
    </dataValidation>
    <dataValidation type="list" sqref="N535" xr:uid="{0ABE8F89-9141-4CA5-B57D-A3457FD4E46F}">
      <formula1>=IF(M535&lt;&gt;"",INDIRECT(VLOOKUP(M535,NgachLuongData,4,FALSE)),"")</formula1>
    </dataValidation>
    <dataValidation type="list" sqref="M536" xr:uid="{5B3018EA-A512-47D5-BF22-04C538E05E8E}">
      <formula1>=IF(L536&lt;&gt;"",INDIRECT(VLOOKUP(L536,ThangLuongData,3,FALSE)),"")</formula1>
    </dataValidation>
    <dataValidation type="list" sqref="N536" xr:uid="{FDBC19F1-6351-4195-A982-4D1A8CE6A507}">
      <formula1>=IF(M536&lt;&gt;"",INDIRECT(VLOOKUP(M536,NgachLuongData,4,FALSE)),"")</formula1>
    </dataValidation>
    <dataValidation type="list" sqref="M537" xr:uid="{C137C3AD-268A-4A3A-9F79-84CCDFC01057}">
      <formula1>=IF(L537&lt;&gt;"",INDIRECT(VLOOKUP(L537,ThangLuongData,3,FALSE)),"")</formula1>
    </dataValidation>
    <dataValidation type="list" sqref="N537" xr:uid="{1725F1AA-3D94-4E84-A151-CA24079309B4}">
      <formula1>=IF(M537&lt;&gt;"",INDIRECT(VLOOKUP(M537,NgachLuongData,4,FALSE)),"")</formula1>
    </dataValidation>
    <dataValidation type="list" sqref="M538" xr:uid="{332752B4-34F1-4AB8-A528-35B85B1259DC}">
      <formula1>=IF(L538&lt;&gt;"",INDIRECT(VLOOKUP(L538,ThangLuongData,3,FALSE)),"")</formula1>
    </dataValidation>
    <dataValidation type="list" sqref="N538" xr:uid="{ACBC5FA8-4A50-410A-B180-F0F5C651F1F4}">
      <formula1>=IF(M538&lt;&gt;"",INDIRECT(VLOOKUP(M538,NgachLuongData,4,FALSE)),"")</formula1>
    </dataValidation>
    <dataValidation type="list" sqref="M539" xr:uid="{7ED407EF-A8FF-4504-B6D3-22E42A6D1C70}">
      <formula1>=IF(L539&lt;&gt;"",INDIRECT(VLOOKUP(L539,ThangLuongData,3,FALSE)),"")</formula1>
    </dataValidation>
    <dataValidation type="list" sqref="N539" xr:uid="{4F1CB170-3412-4B58-8D93-6C3D69B73D35}">
      <formula1>=IF(M539&lt;&gt;"",INDIRECT(VLOOKUP(M539,NgachLuongData,4,FALSE)),"")</formula1>
    </dataValidation>
    <dataValidation type="list" sqref="M540" xr:uid="{8C00206B-1EB2-4CA4-BC19-751DEF757D7C}">
      <formula1>=IF(L540&lt;&gt;"",INDIRECT(VLOOKUP(L540,ThangLuongData,3,FALSE)),"")</formula1>
    </dataValidation>
    <dataValidation type="list" sqref="N540" xr:uid="{10F2AFDF-8C11-4820-9938-76F6BDE25D64}">
      <formula1>=IF(M540&lt;&gt;"",INDIRECT(VLOOKUP(M540,NgachLuongData,4,FALSE)),"")</formula1>
    </dataValidation>
    <dataValidation type="list" sqref="M541" xr:uid="{582DBA75-3B6E-4E90-AA52-6F80659B392B}">
      <formula1>=IF(L541&lt;&gt;"",INDIRECT(VLOOKUP(L541,ThangLuongData,3,FALSE)),"")</formula1>
    </dataValidation>
    <dataValidation type="list" sqref="N541" xr:uid="{262DD5F3-8EBC-4D5B-A862-157CC9BC13AF}">
      <formula1>=IF(M541&lt;&gt;"",INDIRECT(VLOOKUP(M541,NgachLuongData,4,FALSE)),"")</formula1>
    </dataValidation>
    <dataValidation type="list" sqref="M542" xr:uid="{36EABF9B-54E7-40A0-8A4A-CAEE82BBDB67}">
      <formula1>=IF(L542&lt;&gt;"",INDIRECT(VLOOKUP(L542,ThangLuongData,3,FALSE)),"")</formula1>
    </dataValidation>
    <dataValidation type="list" sqref="N542" xr:uid="{BFD6A0ED-E644-4095-A8DE-0322E086EF45}">
      <formula1>=IF(M542&lt;&gt;"",INDIRECT(VLOOKUP(M542,NgachLuongData,4,FALSE)),"")</formula1>
    </dataValidation>
    <dataValidation type="list" sqref="M543" xr:uid="{76968E6C-25F2-47C0-BA41-B26BDC582787}">
      <formula1>=IF(L543&lt;&gt;"",INDIRECT(VLOOKUP(L543,ThangLuongData,3,FALSE)),"")</formula1>
    </dataValidation>
    <dataValidation type="list" sqref="N543" xr:uid="{E5F2FA04-F9EC-4453-9278-483308242C40}">
      <formula1>=IF(M543&lt;&gt;"",INDIRECT(VLOOKUP(M543,NgachLuongData,4,FALSE)),"")</formula1>
    </dataValidation>
    <dataValidation type="list" sqref="M544" xr:uid="{173832AE-703D-4552-B082-78452A80C0F6}">
      <formula1>=IF(L544&lt;&gt;"",INDIRECT(VLOOKUP(L544,ThangLuongData,3,FALSE)),"")</formula1>
    </dataValidation>
    <dataValidation type="list" sqref="N544" xr:uid="{3D944AC1-3F3A-4D57-9BC6-E8A7278EA131}">
      <formula1>=IF(M544&lt;&gt;"",INDIRECT(VLOOKUP(M544,NgachLuongData,4,FALSE)),"")</formula1>
    </dataValidation>
    <dataValidation type="list" sqref="M545" xr:uid="{39549491-90BA-40C5-B3B8-37A5B0AC92FD}">
      <formula1>=IF(L545&lt;&gt;"",INDIRECT(VLOOKUP(L545,ThangLuongData,3,FALSE)),"")</formula1>
    </dataValidation>
    <dataValidation type="list" sqref="N545" xr:uid="{F2BCF338-6DC4-4967-961A-CC13B22CF65F}">
      <formula1>=IF(M545&lt;&gt;"",INDIRECT(VLOOKUP(M545,NgachLuongData,4,FALSE)),"")</formula1>
    </dataValidation>
    <dataValidation type="list" sqref="M546" xr:uid="{3B6F8F56-FA17-4017-AA7F-DCB592BE8EFB}">
      <formula1>=IF(L546&lt;&gt;"",INDIRECT(VLOOKUP(L546,ThangLuongData,3,FALSE)),"")</formula1>
    </dataValidation>
    <dataValidation type="list" sqref="N546" xr:uid="{8DC1BA72-14E7-47FE-BACF-99183296AE5C}">
      <formula1>=IF(M546&lt;&gt;"",INDIRECT(VLOOKUP(M546,NgachLuongData,4,FALSE)),"")</formula1>
    </dataValidation>
    <dataValidation type="list" sqref="M547" xr:uid="{DE5DF63C-988D-432C-B2E1-621AA285E522}">
      <formula1>=IF(L547&lt;&gt;"",INDIRECT(VLOOKUP(L547,ThangLuongData,3,FALSE)),"")</formula1>
    </dataValidation>
    <dataValidation type="list" sqref="N547" xr:uid="{6332BF99-30A6-4C9D-BEFF-3B449729D625}">
      <formula1>=IF(M547&lt;&gt;"",INDIRECT(VLOOKUP(M547,NgachLuongData,4,FALSE)),"")</formula1>
    </dataValidation>
    <dataValidation type="list" sqref="M548" xr:uid="{B4AF9F90-C49E-4405-8E17-55D111598265}">
      <formula1>=IF(L548&lt;&gt;"",INDIRECT(VLOOKUP(L548,ThangLuongData,3,FALSE)),"")</formula1>
    </dataValidation>
    <dataValidation type="list" sqref="N548" xr:uid="{D546B480-B655-4692-985A-477DEBDCE0E4}">
      <formula1>=IF(M548&lt;&gt;"",INDIRECT(VLOOKUP(M548,NgachLuongData,4,FALSE)),"")</formula1>
    </dataValidation>
    <dataValidation type="list" sqref="M549" xr:uid="{84FE59C3-D6CA-426A-AC73-0A87BCD530EA}">
      <formula1>=IF(L549&lt;&gt;"",INDIRECT(VLOOKUP(L549,ThangLuongData,3,FALSE)),"")</formula1>
    </dataValidation>
    <dataValidation type="list" sqref="N549" xr:uid="{51728E92-0B41-4055-9726-517944309845}">
      <formula1>=IF(M549&lt;&gt;"",INDIRECT(VLOOKUP(M549,NgachLuongData,4,FALSE)),"")</formula1>
    </dataValidation>
    <dataValidation type="list" sqref="M550" xr:uid="{4DB4A424-888E-400F-ACA2-37B7F2A1A17E}">
      <formula1>=IF(L550&lt;&gt;"",INDIRECT(VLOOKUP(L550,ThangLuongData,3,FALSE)),"")</formula1>
    </dataValidation>
    <dataValidation type="list" sqref="N550" xr:uid="{7E58AB79-D077-4DAF-BE7E-F67CAEED869B}">
      <formula1>=IF(M550&lt;&gt;"",INDIRECT(VLOOKUP(M550,NgachLuongData,4,FALSE)),"")</formula1>
    </dataValidation>
    <dataValidation type="list" sqref="M551" xr:uid="{69AA706C-FE7D-4F72-9B5D-029F1654AB4B}">
      <formula1>=IF(L551&lt;&gt;"",INDIRECT(VLOOKUP(L551,ThangLuongData,3,FALSE)),"")</formula1>
    </dataValidation>
    <dataValidation type="list" sqref="N551" xr:uid="{0A960E9F-46CA-4BBA-9661-6DA1F11BDBC9}">
      <formula1>=IF(M551&lt;&gt;"",INDIRECT(VLOOKUP(M551,NgachLuongData,4,FALSE)),"")</formula1>
    </dataValidation>
    <dataValidation type="list" sqref="M552" xr:uid="{882FC5A4-E736-4544-995E-7ABC33379EFA}">
      <formula1>=IF(L552&lt;&gt;"",INDIRECT(VLOOKUP(L552,ThangLuongData,3,FALSE)),"")</formula1>
    </dataValidation>
    <dataValidation type="list" sqref="N552" xr:uid="{C0F42A1E-D999-4D4D-BDB6-25A74B02F8F1}">
      <formula1>=IF(M552&lt;&gt;"",INDIRECT(VLOOKUP(M552,NgachLuongData,4,FALSE)),"")</formula1>
    </dataValidation>
    <dataValidation type="list" sqref="M553" xr:uid="{9B579A18-5E79-495B-8402-09079254D8E8}">
      <formula1>=IF(L553&lt;&gt;"",INDIRECT(VLOOKUP(L553,ThangLuongData,3,FALSE)),"")</formula1>
    </dataValidation>
    <dataValidation type="list" sqref="N553" xr:uid="{3D8E37E1-1566-4BF9-8F17-787FDD1582EB}">
      <formula1>=IF(M553&lt;&gt;"",INDIRECT(VLOOKUP(M553,NgachLuongData,4,FALSE)),"")</formula1>
    </dataValidation>
    <dataValidation type="list" sqref="M554" xr:uid="{19BD5AE3-A439-46AA-BF12-FBBD27406089}">
      <formula1>=IF(L554&lt;&gt;"",INDIRECT(VLOOKUP(L554,ThangLuongData,3,FALSE)),"")</formula1>
    </dataValidation>
    <dataValidation type="list" sqref="N554" xr:uid="{5EBEBE2B-2BBE-49F7-A293-1D12450A9B28}">
      <formula1>=IF(M554&lt;&gt;"",INDIRECT(VLOOKUP(M554,NgachLuongData,4,FALSE)),"")</formula1>
    </dataValidation>
    <dataValidation type="list" sqref="M555" xr:uid="{EEDB65B2-68B9-4356-8757-8F0EFADDAC64}">
      <formula1>=IF(L555&lt;&gt;"",INDIRECT(VLOOKUP(L555,ThangLuongData,3,FALSE)),"")</formula1>
    </dataValidation>
    <dataValidation type="list" sqref="N555" xr:uid="{F015910C-B3D6-4A3E-A02D-D2F619CBCA92}">
      <formula1>=IF(M555&lt;&gt;"",INDIRECT(VLOOKUP(M555,NgachLuongData,4,FALSE)),"")</formula1>
    </dataValidation>
    <dataValidation type="list" sqref="M556" xr:uid="{47A93616-3066-4866-93A4-5465A9510F8C}">
      <formula1>=IF(L556&lt;&gt;"",INDIRECT(VLOOKUP(L556,ThangLuongData,3,FALSE)),"")</formula1>
    </dataValidation>
    <dataValidation type="list" sqref="N556" xr:uid="{447CBF46-535A-4640-816E-D8796496BF84}">
      <formula1>=IF(M556&lt;&gt;"",INDIRECT(VLOOKUP(M556,NgachLuongData,4,FALSE)),"")</formula1>
    </dataValidation>
    <dataValidation type="list" sqref="M557" xr:uid="{659FCAEC-94B5-4214-A217-C3488C5CC19E}">
      <formula1>=IF(L557&lt;&gt;"",INDIRECT(VLOOKUP(L557,ThangLuongData,3,FALSE)),"")</formula1>
    </dataValidation>
    <dataValidation type="list" sqref="N557" xr:uid="{23C366E9-85A7-4E45-8A27-1C6F92814A25}">
      <formula1>=IF(M557&lt;&gt;"",INDIRECT(VLOOKUP(M557,NgachLuongData,4,FALSE)),"")</formula1>
    </dataValidation>
    <dataValidation type="list" sqref="M558" xr:uid="{E2CC8624-4F6F-49E8-B799-C7FB6EB7247B}">
      <formula1>=IF(L558&lt;&gt;"",INDIRECT(VLOOKUP(L558,ThangLuongData,3,FALSE)),"")</formula1>
    </dataValidation>
    <dataValidation type="list" sqref="N558" xr:uid="{E415FD50-4863-4ACC-ACC9-F94C750D3483}">
      <formula1>=IF(M558&lt;&gt;"",INDIRECT(VLOOKUP(M558,NgachLuongData,4,FALSE)),"")</formula1>
    </dataValidation>
    <dataValidation type="list" sqref="M559" xr:uid="{F3556C5C-CD48-4441-8951-59DA7405811A}">
      <formula1>=IF(L559&lt;&gt;"",INDIRECT(VLOOKUP(L559,ThangLuongData,3,FALSE)),"")</formula1>
    </dataValidation>
    <dataValidation type="list" sqref="N559" xr:uid="{26DA73FB-AE6A-4CD4-9E00-21DACE7A6714}">
      <formula1>=IF(M559&lt;&gt;"",INDIRECT(VLOOKUP(M559,NgachLuongData,4,FALSE)),"")</formula1>
    </dataValidation>
    <dataValidation type="list" sqref="M560" xr:uid="{38EBBAB8-DAC4-43AA-B2D7-E5E6FD3FE78B}">
      <formula1>=IF(L560&lt;&gt;"",INDIRECT(VLOOKUP(L560,ThangLuongData,3,FALSE)),"")</formula1>
    </dataValidation>
    <dataValidation type="list" sqref="N560" xr:uid="{E4735939-FB75-491D-803A-7E19068C2BF7}">
      <formula1>=IF(M560&lt;&gt;"",INDIRECT(VLOOKUP(M560,NgachLuongData,4,FALSE)),"")</formula1>
    </dataValidation>
    <dataValidation type="list" sqref="M561" xr:uid="{635D4D02-8F0E-42B8-9520-B555D044A586}">
      <formula1>=IF(L561&lt;&gt;"",INDIRECT(VLOOKUP(L561,ThangLuongData,3,FALSE)),"")</formula1>
    </dataValidation>
    <dataValidation type="list" sqref="N561" xr:uid="{EA977519-B4CB-4B70-AE55-FBA3B4FAFC47}">
      <formula1>=IF(M561&lt;&gt;"",INDIRECT(VLOOKUP(M561,NgachLuongData,4,FALSE)),"")</formula1>
    </dataValidation>
    <dataValidation type="list" sqref="M562" xr:uid="{D02581F3-5F9D-4612-B2F6-2D87F581CEB7}">
      <formula1>=IF(L562&lt;&gt;"",INDIRECT(VLOOKUP(L562,ThangLuongData,3,FALSE)),"")</formula1>
    </dataValidation>
    <dataValidation type="list" sqref="N562" xr:uid="{CC197355-92ED-4A56-BD36-64A3839B105C}">
      <formula1>=IF(M562&lt;&gt;"",INDIRECT(VLOOKUP(M562,NgachLuongData,4,FALSE)),"")</formula1>
    </dataValidation>
    <dataValidation type="list" sqref="M563" xr:uid="{1183860A-7E88-4F05-9D81-DBD8C4D6060E}">
      <formula1>=IF(L563&lt;&gt;"",INDIRECT(VLOOKUP(L563,ThangLuongData,3,FALSE)),"")</formula1>
    </dataValidation>
    <dataValidation type="list" sqref="N563" xr:uid="{BA566E92-E7A2-4676-A6F7-E76E3648950C}">
      <formula1>=IF(M563&lt;&gt;"",INDIRECT(VLOOKUP(M563,NgachLuongData,4,FALSE)),"")</formula1>
    </dataValidation>
    <dataValidation type="list" sqref="M564" xr:uid="{934DCAEB-03E4-47C7-8542-8D4819E28A2A}">
      <formula1>=IF(L564&lt;&gt;"",INDIRECT(VLOOKUP(L564,ThangLuongData,3,FALSE)),"")</formula1>
    </dataValidation>
    <dataValidation type="list" sqref="N564" xr:uid="{977E8448-84D6-4D53-8BCA-72280C21235C}">
      <formula1>=IF(M564&lt;&gt;"",INDIRECT(VLOOKUP(M564,NgachLuongData,4,FALSE)),"")</formula1>
    </dataValidation>
    <dataValidation type="list" sqref="M565" xr:uid="{A661B5E9-BF3B-4AA7-A89C-A9DA7B0EC5D6}">
      <formula1>=IF(L565&lt;&gt;"",INDIRECT(VLOOKUP(L565,ThangLuongData,3,FALSE)),"")</formula1>
    </dataValidation>
    <dataValidation type="list" sqref="N565" xr:uid="{84E71246-CB1B-4DCD-8FEA-4894AA81E92E}">
      <formula1>=IF(M565&lt;&gt;"",INDIRECT(VLOOKUP(M565,NgachLuongData,4,FALSE)),"")</formula1>
    </dataValidation>
    <dataValidation type="list" sqref="M566" xr:uid="{33BA8087-2D7F-4B08-AE40-423244BC7E4C}">
      <formula1>=IF(L566&lt;&gt;"",INDIRECT(VLOOKUP(L566,ThangLuongData,3,FALSE)),"")</formula1>
    </dataValidation>
    <dataValidation type="list" sqref="N566" xr:uid="{F2758FBB-3EC9-4AA5-9808-AD09482EBB13}">
      <formula1>=IF(M566&lt;&gt;"",INDIRECT(VLOOKUP(M566,NgachLuongData,4,FALSE)),"")</formula1>
    </dataValidation>
    <dataValidation type="list" sqref="M567" xr:uid="{AD987D7C-A803-42C2-8D0C-92EB6B107A7A}">
      <formula1>=IF(L567&lt;&gt;"",INDIRECT(VLOOKUP(L567,ThangLuongData,3,FALSE)),"")</formula1>
    </dataValidation>
    <dataValidation type="list" sqref="N567" xr:uid="{39179446-2598-4D38-9778-3BD84426A656}">
      <formula1>=IF(M567&lt;&gt;"",INDIRECT(VLOOKUP(M567,NgachLuongData,4,FALSE)),"")</formula1>
    </dataValidation>
    <dataValidation type="list" sqref="M568" xr:uid="{DEB41C32-20FA-4382-8AF3-8347D226D061}">
      <formula1>=IF(L568&lt;&gt;"",INDIRECT(VLOOKUP(L568,ThangLuongData,3,FALSE)),"")</formula1>
    </dataValidation>
    <dataValidation type="list" sqref="N568" xr:uid="{552D64A2-FF59-4544-A650-09A01398489D}">
      <formula1>=IF(M568&lt;&gt;"",INDIRECT(VLOOKUP(M568,NgachLuongData,4,FALSE)),"")</formula1>
    </dataValidation>
    <dataValidation type="list" sqref="M569" xr:uid="{C8B087C4-B2D3-422E-ADFD-222195B3F10F}">
      <formula1>=IF(L569&lt;&gt;"",INDIRECT(VLOOKUP(L569,ThangLuongData,3,FALSE)),"")</formula1>
    </dataValidation>
    <dataValidation type="list" sqref="N569" xr:uid="{5E9F1F87-A3E4-4F21-9D88-505A41B73A89}">
      <formula1>=IF(M569&lt;&gt;"",INDIRECT(VLOOKUP(M569,NgachLuongData,4,FALSE)),"")</formula1>
    </dataValidation>
    <dataValidation type="list" sqref="M570" xr:uid="{581BCD56-AFBC-4503-AC27-2E22840CD6DD}">
      <formula1>=IF(L570&lt;&gt;"",INDIRECT(VLOOKUP(L570,ThangLuongData,3,FALSE)),"")</formula1>
    </dataValidation>
    <dataValidation type="list" sqref="N570" xr:uid="{BE0E6EC3-CFF6-4D04-88EF-5B028D970371}">
      <formula1>=IF(M570&lt;&gt;"",INDIRECT(VLOOKUP(M570,NgachLuongData,4,FALSE)),"")</formula1>
    </dataValidation>
    <dataValidation type="list" sqref="M571" xr:uid="{81A97D76-2D14-4A35-91D6-0BAFBA09F954}">
      <formula1>=IF(L571&lt;&gt;"",INDIRECT(VLOOKUP(L571,ThangLuongData,3,FALSE)),"")</formula1>
    </dataValidation>
    <dataValidation type="list" sqref="N571" xr:uid="{1B14FE80-4A95-4E5E-B42F-928E0E144F77}">
      <formula1>=IF(M571&lt;&gt;"",INDIRECT(VLOOKUP(M571,NgachLuongData,4,FALSE)),"")</formula1>
    </dataValidation>
    <dataValidation type="list" sqref="M572" xr:uid="{7E97E132-F65A-40E7-8CDD-FB72E2611E1F}">
      <formula1>=IF(L572&lt;&gt;"",INDIRECT(VLOOKUP(L572,ThangLuongData,3,FALSE)),"")</formula1>
    </dataValidation>
    <dataValidation type="list" sqref="N572" xr:uid="{F9F678A6-F58A-4C82-A278-0B1CEC91C8A2}">
      <formula1>=IF(M572&lt;&gt;"",INDIRECT(VLOOKUP(M572,NgachLuongData,4,FALSE)),"")</formula1>
    </dataValidation>
    <dataValidation type="list" sqref="M573" xr:uid="{5EEB0A51-717D-481C-8187-7DC63F54A8AE}">
      <formula1>=IF(L573&lt;&gt;"",INDIRECT(VLOOKUP(L573,ThangLuongData,3,FALSE)),"")</formula1>
    </dataValidation>
    <dataValidation type="list" sqref="N573" xr:uid="{D240C035-F050-48AC-94A5-D8C8E5F6B6BC}">
      <formula1>=IF(M573&lt;&gt;"",INDIRECT(VLOOKUP(M573,NgachLuongData,4,FALSE)),"")</formula1>
    </dataValidation>
    <dataValidation type="list" sqref="M574" xr:uid="{CDCBD3BC-9B21-45A6-9595-B9B64034EF82}">
      <formula1>=IF(L574&lt;&gt;"",INDIRECT(VLOOKUP(L574,ThangLuongData,3,FALSE)),"")</formula1>
    </dataValidation>
    <dataValidation type="list" sqref="N574" xr:uid="{F5CDCB64-F2EF-42CB-A6F4-F01D5845A87E}">
      <formula1>=IF(M574&lt;&gt;"",INDIRECT(VLOOKUP(M574,NgachLuongData,4,FALSE)),"")</formula1>
    </dataValidation>
    <dataValidation type="list" sqref="M575" xr:uid="{FA0B9B27-E4E1-44B2-BE3E-E080501484CB}">
      <formula1>=IF(L575&lt;&gt;"",INDIRECT(VLOOKUP(L575,ThangLuongData,3,FALSE)),"")</formula1>
    </dataValidation>
    <dataValidation type="list" sqref="N575" xr:uid="{FA18CF8A-9AAB-465B-BB32-2A04D5D8DB08}">
      <formula1>=IF(M575&lt;&gt;"",INDIRECT(VLOOKUP(M575,NgachLuongData,4,FALSE)),"")</formula1>
    </dataValidation>
    <dataValidation type="list" sqref="M576" xr:uid="{675FA04A-02A5-4948-A774-280D497BD9C2}">
      <formula1>=IF(L576&lt;&gt;"",INDIRECT(VLOOKUP(L576,ThangLuongData,3,FALSE)),"")</formula1>
    </dataValidation>
    <dataValidation type="list" sqref="N576" xr:uid="{4024FAC9-34CD-4E06-A53F-11EC55AD615B}">
      <formula1>=IF(M576&lt;&gt;"",INDIRECT(VLOOKUP(M576,NgachLuongData,4,FALSE)),"")</formula1>
    </dataValidation>
    <dataValidation type="list" sqref="M577" xr:uid="{5CA17111-C294-4E63-B3F0-4E0A7D0462E6}">
      <formula1>=IF(L577&lt;&gt;"",INDIRECT(VLOOKUP(L577,ThangLuongData,3,FALSE)),"")</formula1>
    </dataValidation>
    <dataValidation type="list" sqref="N577" xr:uid="{D2B7B17D-CCEB-4096-BCB8-772BA3FBBEAB}">
      <formula1>=IF(M577&lt;&gt;"",INDIRECT(VLOOKUP(M577,NgachLuongData,4,FALSE)),"")</formula1>
    </dataValidation>
    <dataValidation type="list" sqref="M578" xr:uid="{732ED1BD-3AEB-4F95-B14B-A409E4B89ADD}">
      <formula1>=IF(L578&lt;&gt;"",INDIRECT(VLOOKUP(L578,ThangLuongData,3,FALSE)),"")</formula1>
    </dataValidation>
    <dataValidation type="list" sqref="N578" xr:uid="{5D3CCFC7-ECA7-4DC3-ACCA-EF9B9F491A4E}">
      <formula1>=IF(M578&lt;&gt;"",INDIRECT(VLOOKUP(M578,NgachLuongData,4,FALSE)),"")</formula1>
    </dataValidation>
    <dataValidation type="list" sqref="M579" xr:uid="{0B51369E-DF1D-432F-92E7-F41F6101F60D}">
      <formula1>=IF(L579&lt;&gt;"",INDIRECT(VLOOKUP(L579,ThangLuongData,3,FALSE)),"")</formula1>
    </dataValidation>
    <dataValidation type="list" sqref="N579" xr:uid="{6268240E-210E-4611-91A3-995E8234281B}">
      <formula1>=IF(M579&lt;&gt;"",INDIRECT(VLOOKUP(M579,NgachLuongData,4,FALSE)),"")</formula1>
    </dataValidation>
    <dataValidation type="list" sqref="M580" xr:uid="{4B085D4B-E88F-4BF9-9601-83B3AD7C021A}">
      <formula1>=IF(L580&lt;&gt;"",INDIRECT(VLOOKUP(L580,ThangLuongData,3,FALSE)),"")</formula1>
    </dataValidation>
    <dataValidation type="list" sqref="N580" xr:uid="{6C25AB3B-C412-418F-97FF-5D74D3B9A6CA}">
      <formula1>=IF(M580&lt;&gt;"",INDIRECT(VLOOKUP(M580,NgachLuongData,4,FALSE)),"")</formula1>
    </dataValidation>
    <dataValidation type="list" sqref="M581" xr:uid="{52490004-774F-4E78-9C2D-5F438855A1D9}">
      <formula1>=IF(L581&lt;&gt;"",INDIRECT(VLOOKUP(L581,ThangLuongData,3,FALSE)),"")</formula1>
    </dataValidation>
    <dataValidation type="list" sqref="N581" xr:uid="{AE5F8F92-2C49-4BE8-8026-8D7662424C28}">
      <formula1>=IF(M581&lt;&gt;"",INDIRECT(VLOOKUP(M581,NgachLuongData,4,FALSE)),"")</formula1>
    </dataValidation>
    <dataValidation type="list" sqref="M582" xr:uid="{19411B1A-18AE-4A87-9FAD-C7D5CB730ACE}">
      <formula1>=IF(L582&lt;&gt;"",INDIRECT(VLOOKUP(L582,ThangLuongData,3,FALSE)),"")</formula1>
    </dataValidation>
    <dataValidation type="list" sqref="N582" xr:uid="{F6304E8B-B512-4C2A-8103-E2FAF893795C}">
      <formula1>=IF(M582&lt;&gt;"",INDIRECT(VLOOKUP(M582,NgachLuongData,4,FALSE)),"")</formula1>
    </dataValidation>
    <dataValidation type="list" sqref="M583" xr:uid="{D682856D-4EFB-4E9C-B40C-75B764C5169E}">
      <formula1>=IF(L583&lt;&gt;"",INDIRECT(VLOOKUP(L583,ThangLuongData,3,FALSE)),"")</formula1>
    </dataValidation>
    <dataValidation type="list" sqref="N583" xr:uid="{DACBFE54-3ACE-441F-BDDA-C5FDBDC1B749}">
      <formula1>=IF(M583&lt;&gt;"",INDIRECT(VLOOKUP(M583,NgachLuongData,4,FALSE)),"")</formula1>
    </dataValidation>
    <dataValidation type="list" sqref="M584" xr:uid="{7F0725B9-864C-48C0-9EB6-2EB4D9753EC7}">
      <formula1>=IF(L584&lt;&gt;"",INDIRECT(VLOOKUP(L584,ThangLuongData,3,FALSE)),"")</formula1>
    </dataValidation>
    <dataValidation type="list" sqref="N584" xr:uid="{5C23ED5C-CBA0-4E46-97AC-EF68DD43199F}">
      <formula1>=IF(M584&lt;&gt;"",INDIRECT(VLOOKUP(M584,NgachLuongData,4,FALSE)),"")</formula1>
    </dataValidation>
    <dataValidation type="list" sqref="M585" xr:uid="{406B9EC9-A42F-4917-A0AA-6279F41C0659}">
      <formula1>=IF(L585&lt;&gt;"",INDIRECT(VLOOKUP(L585,ThangLuongData,3,FALSE)),"")</formula1>
    </dataValidation>
    <dataValidation type="list" sqref="N585" xr:uid="{32A8D3B3-0E93-4CBA-BAA2-BA7CE4CA227E}">
      <formula1>=IF(M585&lt;&gt;"",INDIRECT(VLOOKUP(M585,NgachLuongData,4,FALSE)),"")</formula1>
    </dataValidation>
    <dataValidation type="list" sqref="M586" xr:uid="{9230AA75-F62E-4F74-B34A-089AFCA2D636}">
      <formula1>=IF(L586&lt;&gt;"",INDIRECT(VLOOKUP(L586,ThangLuongData,3,FALSE)),"")</formula1>
    </dataValidation>
    <dataValidation type="list" sqref="N586" xr:uid="{433D4E56-2CB7-4290-93D3-D81CD89B5810}">
      <formula1>=IF(M586&lt;&gt;"",INDIRECT(VLOOKUP(M586,NgachLuongData,4,FALSE)),"")</formula1>
    </dataValidation>
    <dataValidation type="list" sqref="M587" xr:uid="{748745C4-F723-4A7F-A3B5-FE557E1A749A}">
      <formula1>=IF(L587&lt;&gt;"",INDIRECT(VLOOKUP(L587,ThangLuongData,3,FALSE)),"")</formula1>
    </dataValidation>
    <dataValidation type="list" sqref="N587" xr:uid="{22BF765E-00AD-405E-ABA0-F8864B27D452}">
      <formula1>=IF(M587&lt;&gt;"",INDIRECT(VLOOKUP(M587,NgachLuongData,4,FALSE)),"")</formula1>
    </dataValidation>
    <dataValidation type="list" sqref="M588" xr:uid="{E7969F84-862F-420C-BEBB-13D79369219C}">
      <formula1>=IF(L588&lt;&gt;"",INDIRECT(VLOOKUP(L588,ThangLuongData,3,FALSE)),"")</formula1>
    </dataValidation>
    <dataValidation type="list" sqref="N588" xr:uid="{B3076C95-488F-4FB7-9583-5EFC9757ED4C}">
      <formula1>=IF(M588&lt;&gt;"",INDIRECT(VLOOKUP(M588,NgachLuongData,4,FALSE)),"")</formula1>
    </dataValidation>
    <dataValidation type="list" sqref="M589" xr:uid="{591903BD-03EC-4776-BA8B-AAF550585264}">
      <formula1>=IF(L589&lt;&gt;"",INDIRECT(VLOOKUP(L589,ThangLuongData,3,FALSE)),"")</formula1>
    </dataValidation>
    <dataValidation type="list" sqref="N589" xr:uid="{5750C7BD-13D3-44A8-8E8A-6D75F4B981CC}">
      <formula1>=IF(M589&lt;&gt;"",INDIRECT(VLOOKUP(M589,NgachLuongData,4,FALSE)),"")</formula1>
    </dataValidation>
    <dataValidation type="list" sqref="M590" xr:uid="{65FFD36B-EC4D-414A-B2C9-45886F7CCCB2}">
      <formula1>=IF(L590&lt;&gt;"",INDIRECT(VLOOKUP(L590,ThangLuongData,3,FALSE)),"")</formula1>
    </dataValidation>
    <dataValidation type="list" sqref="N590" xr:uid="{C67CA2D0-5F5B-4322-B2AC-9FFDDF51896E}">
      <formula1>=IF(M590&lt;&gt;"",INDIRECT(VLOOKUP(M590,NgachLuongData,4,FALSE)),"")</formula1>
    </dataValidation>
    <dataValidation type="list" sqref="M591" xr:uid="{ABFCA6B4-5CDF-4BE8-9F63-77CDF44E842B}">
      <formula1>=IF(L591&lt;&gt;"",INDIRECT(VLOOKUP(L591,ThangLuongData,3,FALSE)),"")</formula1>
    </dataValidation>
    <dataValidation type="list" sqref="N591" xr:uid="{FF1B8F01-A74C-4405-A76A-2B1CE85AA5DF}">
      <formula1>=IF(M591&lt;&gt;"",INDIRECT(VLOOKUP(M591,NgachLuongData,4,FALSE)),"")</formula1>
    </dataValidation>
    <dataValidation type="list" sqref="M592" xr:uid="{3943D0B5-87C7-41D2-BF4A-F1F79559EBD5}">
      <formula1>=IF(L592&lt;&gt;"",INDIRECT(VLOOKUP(L592,ThangLuongData,3,FALSE)),"")</formula1>
    </dataValidation>
    <dataValidation type="list" sqref="N592" xr:uid="{414F35DF-0B9A-4535-948C-139386086345}">
      <formula1>=IF(M592&lt;&gt;"",INDIRECT(VLOOKUP(M592,NgachLuongData,4,FALSE)),"")</formula1>
    </dataValidation>
    <dataValidation type="list" sqref="M593" xr:uid="{F7F406E9-D885-4114-ABFF-24110C3ED717}">
      <formula1>=IF(L593&lt;&gt;"",INDIRECT(VLOOKUP(L593,ThangLuongData,3,FALSE)),"")</formula1>
    </dataValidation>
    <dataValidation type="list" sqref="N593" xr:uid="{CDF176F9-A71F-4AC7-BE1B-0F490B9F72FC}">
      <formula1>=IF(M593&lt;&gt;"",INDIRECT(VLOOKUP(M593,NgachLuongData,4,FALSE)),"")</formula1>
    </dataValidation>
    <dataValidation type="list" sqref="M594" xr:uid="{F386BFE7-7557-4314-B4B4-17ECFC6BFFEA}">
      <formula1>=IF(L594&lt;&gt;"",INDIRECT(VLOOKUP(L594,ThangLuongData,3,FALSE)),"")</formula1>
    </dataValidation>
    <dataValidation type="list" sqref="N594" xr:uid="{2F67A866-5F56-414D-A193-548EF7867E12}">
      <formula1>=IF(M594&lt;&gt;"",INDIRECT(VLOOKUP(M594,NgachLuongData,4,FALSE)),"")</formula1>
    </dataValidation>
    <dataValidation type="list" sqref="M595" xr:uid="{CC55687A-02A8-4744-A484-7CDD41C21C30}">
      <formula1>=IF(L595&lt;&gt;"",INDIRECT(VLOOKUP(L595,ThangLuongData,3,FALSE)),"")</formula1>
    </dataValidation>
    <dataValidation type="list" sqref="N595" xr:uid="{7B52DDB7-7E77-453F-A7F0-46F8EBA91A64}">
      <formula1>=IF(M595&lt;&gt;"",INDIRECT(VLOOKUP(M595,NgachLuongData,4,FALSE)),"")</formula1>
    </dataValidation>
    <dataValidation type="list" sqref="M596" xr:uid="{20B35B3D-A514-41D6-B690-FF989C822DA2}">
      <formula1>=IF(L596&lt;&gt;"",INDIRECT(VLOOKUP(L596,ThangLuongData,3,FALSE)),"")</formula1>
    </dataValidation>
    <dataValidation type="list" sqref="N596" xr:uid="{AE71E253-C71B-4554-BAA6-BE31F0BBAD0F}">
      <formula1>=IF(M596&lt;&gt;"",INDIRECT(VLOOKUP(M596,NgachLuongData,4,FALSE)),"")</formula1>
    </dataValidation>
    <dataValidation type="list" sqref="M597" xr:uid="{09C0AB18-570E-432A-AC0A-6D11371CB135}">
      <formula1>=IF(L597&lt;&gt;"",INDIRECT(VLOOKUP(L597,ThangLuongData,3,FALSE)),"")</formula1>
    </dataValidation>
    <dataValidation type="list" sqref="N597" xr:uid="{F8721128-89F7-419B-B4AB-387D20CE54C9}">
      <formula1>=IF(M597&lt;&gt;"",INDIRECT(VLOOKUP(M597,NgachLuongData,4,FALSE)),"")</formula1>
    </dataValidation>
    <dataValidation type="list" sqref="M598" xr:uid="{63C435DA-81E2-4230-9140-97E5694C0BC2}">
      <formula1>=IF(L598&lt;&gt;"",INDIRECT(VLOOKUP(L598,ThangLuongData,3,FALSE)),"")</formula1>
    </dataValidation>
    <dataValidation type="list" sqref="N598" xr:uid="{22813961-C2C1-4C5C-A8E0-FAC77E46A740}">
      <formula1>=IF(M598&lt;&gt;"",INDIRECT(VLOOKUP(M598,NgachLuongData,4,FALSE)),"")</formula1>
    </dataValidation>
    <dataValidation type="list" sqref="M599" xr:uid="{9E423CCF-5473-44B4-BE2A-505F82B4AD94}">
      <formula1>=IF(L599&lt;&gt;"",INDIRECT(VLOOKUP(L599,ThangLuongData,3,FALSE)),"")</formula1>
    </dataValidation>
    <dataValidation type="list" sqref="N599" xr:uid="{4F92A42E-BC58-49E5-88C7-148440065AE9}">
      <formula1>=IF(M599&lt;&gt;"",INDIRECT(VLOOKUP(M599,NgachLuongData,4,FALSE)),"")</formula1>
    </dataValidation>
    <dataValidation type="list" sqref="M600" xr:uid="{F8548FA0-ECDE-4897-AB4B-C0A1209ACE1D}">
      <formula1>=IF(L600&lt;&gt;"",INDIRECT(VLOOKUP(L600,ThangLuongData,3,FALSE)),"")</formula1>
    </dataValidation>
    <dataValidation type="list" sqref="N600" xr:uid="{BBDAEAA7-F6A2-48F9-B6EB-F50339411E18}">
      <formula1>=IF(M600&lt;&gt;"",INDIRECT(VLOOKUP(M600,NgachLuongData,4,FALSE)),"")</formula1>
    </dataValidation>
    <dataValidation type="list" sqref="M601" xr:uid="{66A146E3-B194-4293-8912-8C16A0E72E83}">
      <formula1>=IF(L601&lt;&gt;"",INDIRECT(VLOOKUP(L601,ThangLuongData,3,FALSE)),"")</formula1>
    </dataValidation>
    <dataValidation type="list" sqref="N601" xr:uid="{AD3B2DB4-9A58-4386-AA4C-83EFEA7509A4}">
      <formula1>=IF(M601&lt;&gt;"",INDIRECT(VLOOKUP(M601,NgachLuongData,4,FALSE)),"")</formula1>
    </dataValidation>
    <dataValidation type="list" sqref="M602" xr:uid="{4FBFACED-E2D8-45CE-AFB4-5570B13169D1}">
      <formula1>=IF(L602&lt;&gt;"",INDIRECT(VLOOKUP(L602,ThangLuongData,3,FALSE)),"")</formula1>
    </dataValidation>
    <dataValidation type="list" sqref="N602" xr:uid="{09671598-AB2A-49EF-AB48-C32DF341D94E}">
      <formula1>=IF(M602&lt;&gt;"",INDIRECT(VLOOKUP(M602,NgachLuongData,4,FALSE)),"")</formula1>
    </dataValidation>
    <dataValidation type="list" sqref="M603" xr:uid="{2FDEE999-DCC3-4589-A8BE-E045B7DD4B5D}">
      <formula1>=IF(L603&lt;&gt;"",INDIRECT(VLOOKUP(L603,ThangLuongData,3,FALSE)),"")</formula1>
    </dataValidation>
    <dataValidation type="list" sqref="N603" xr:uid="{B5958B13-45CA-4B7E-B02A-9FEA190DF704}">
      <formula1>=IF(M603&lt;&gt;"",INDIRECT(VLOOKUP(M603,NgachLuongData,4,FALSE)),"")</formula1>
    </dataValidation>
    <dataValidation type="list" sqref="M604" xr:uid="{16C9DE74-04A9-49F6-8B35-451A30C54E09}">
      <formula1>=IF(L604&lt;&gt;"",INDIRECT(VLOOKUP(L604,ThangLuongData,3,FALSE)),"")</formula1>
    </dataValidation>
    <dataValidation type="list" sqref="N604" xr:uid="{BB8ED4A6-5B23-460E-B96E-11E0565CCF97}">
      <formula1>=IF(M604&lt;&gt;"",INDIRECT(VLOOKUP(M604,NgachLuongData,4,FALSE)),"")</formula1>
    </dataValidation>
    <dataValidation type="list" sqref="M605" xr:uid="{D309BFC6-6276-4FC6-9074-6E940256397C}">
      <formula1>=IF(L605&lt;&gt;"",INDIRECT(VLOOKUP(L605,ThangLuongData,3,FALSE)),"")</formula1>
    </dataValidation>
    <dataValidation type="list" sqref="N605" xr:uid="{C671E54D-0D45-45C5-ADC2-16F683AD78A2}">
      <formula1>=IF(M605&lt;&gt;"",INDIRECT(VLOOKUP(M605,NgachLuongData,4,FALSE)),"")</formula1>
    </dataValidation>
    <dataValidation type="list" sqref="M606" xr:uid="{F9313CF1-D338-47C5-965D-4E0EF6193BDC}">
      <formula1>=IF(L606&lt;&gt;"",INDIRECT(VLOOKUP(L606,ThangLuongData,3,FALSE)),"")</formula1>
    </dataValidation>
    <dataValidation type="list" sqref="N606" xr:uid="{9A91FBAD-9928-489B-8DC0-2448E936AB8D}">
      <formula1>=IF(M606&lt;&gt;"",INDIRECT(VLOOKUP(M606,NgachLuongData,4,FALSE)),"")</formula1>
    </dataValidation>
    <dataValidation type="list" sqref="M607" xr:uid="{D1B77227-6B38-4DA8-91A5-F168A1A0E283}">
      <formula1>=IF(L607&lt;&gt;"",INDIRECT(VLOOKUP(L607,ThangLuongData,3,FALSE)),"")</formula1>
    </dataValidation>
    <dataValidation type="list" sqref="N607" xr:uid="{6B7D0167-B0A0-4796-9280-8EE25C64422C}">
      <formula1>=IF(M607&lt;&gt;"",INDIRECT(VLOOKUP(M607,NgachLuongData,4,FALSE)),"")</formula1>
    </dataValidation>
    <dataValidation type="list" sqref="M608" xr:uid="{82E1FF6E-BADA-4A3A-A884-099F99B9C86A}">
      <formula1>=IF(L608&lt;&gt;"",INDIRECT(VLOOKUP(L608,ThangLuongData,3,FALSE)),"")</formula1>
    </dataValidation>
    <dataValidation type="list" sqref="N608" xr:uid="{9B65505D-3189-435B-9B03-1E52AB553861}">
      <formula1>=IF(M608&lt;&gt;"",INDIRECT(VLOOKUP(M608,NgachLuongData,4,FALSE)),"")</formula1>
    </dataValidation>
    <dataValidation type="list" sqref="M609" xr:uid="{3EA92F6D-278F-4B26-8CBC-BA1B7B09CF2E}">
      <formula1>=IF(L609&lt;&gt;"",INDIRECT(VLOOKUP(L609,ThangLuongData,3,FALSE)),"")</formula1>
    </dataValidation>
    <dataValidation type="list" sqref="N609" xr:uid="{21443009-F3E8-4014-9BC2-148A71780775}">
      <formula1>=IF(M609&lt;&gt;"",INDIRECT(VLOOKUP(M609,NgachLuongData,4,FALSE)),"")</formula1>
    </dataValidation>
    <dataValidation type="list" sqref="M610" xr:uid="{7F18E33D-5E56-456F-B171-790EB12D8822}">
      <formula1>=IF(L610&lt;&gt;"",INDIRECT(VLOOKUP(L610,ThangLuongData,3,FALSE)),"")</formula1>
    </dataValidation>
    <dataValidation type="list" sqref="N610" xr:uid="{3DD4541A-9D33-45A5-9028-D15405F377DC}">
      <formula1>=IF(M610&lt;&gt;"",INDIRECT(VLOOKUP(M610,NgachLuongData,4,FALSE)),"")</formula1>
    </dataValidation>
    <dataValidation type="list" sqref="M611" xr:uid="{FD1BCCE7-F529-4319-8FBE-8BBD7F0B05D6}">
      <formula1>=IF(L611&lt;&gt;"",INDIRECT(VLOOKUP(L611,ThangLuongData,3,FALSE)),"")</formula1>
    </dataValidation>
    <dataValidation type="list" sqref="N611" xr:uid="{BDB2F9B5-84A4-4796-8153-6B86840BBCD3}">
      <formula1>=IF(M611&lt;&gt;"",INDIRECT(VLOOKUP(M611,NgachLuongData,4,FALSE)),"")</formula1>
    </dataValidation>
    <dataValidation type="list" sqref="M612" xr:uid="{567B4F04-D60A-40CF-B86C-7D1EE89C938B}">
      <formula1>=IF(L612&lt;&gt;"",INDIRECT(VLOOKUP(L612,ThangLuongData,3,FALSE)),"")</formula1>
    </dataValidation>
    <dataValidation type="list" sqref="N612" xr:uid="{77EF8CC6-F924-43C4-AD42-BA1EE644756F}">
      <formula1>=IF(M612&lt;&gt;"",INDIRECT(VLOOKUP(M612,NgachLuongData,4,FALSE)),"")</formula1>
    </dataValidation>
    <dataValidation type="list" sqref="M613" xr:uid="{CF1029C8-247E-4054-A0B0-E9EFF54584FD}">
      <formula1>=IF(L613&lt;&gt;"",INDIRECT(VLOOKUP(L613,ThangLuongData,3,FALSE)),"")</formula1>
    </dataValidation>
    <dataValidation type="list" sqref="N613" xr:uid="{C41EBB95-BC42-4604-A038-54E7DC441753}">
      <formula1>=IF(M613&lt;&gt;"",INDIRECT(VLOOKUP(M613,NgachLuongData,4,FALSE)),"")</formula1>
    </dataValidation>
    <dataValidation type="list" sqref="M614" xr:uid="{8BD9ABA7-B79E-45FA-A8B2-7E6AF1FD74D5}">
      <formula1>=IF(L614&lt;&gt;"",INDIRECT(VLOOKUP(L614,ThangLuongData,3,FALSE)),"")</formula1>
    </dataValidation>
    <dataValidation type="list" sqref="N614" xr:uid="{4D2D57CC-C1F8-4205-8BC5-F0A547DEC1F5}">
      <formula1>=IF(M614&lt;&gt;"",INDIRECT(VLOOKUP(M614,NgachLuongData,4,FALSE)),"")</formula1>
    </dataValidation>
    <dataValidation type="list" sqref="M615" xr:uid="{EF69EA37-38F6-45BF-BDFE-08AD387D831A}">
      <formula1>=IF(L615&lt;&gt;"",INDIRECT(VLOOKUP(L615,ThangLuongData,3,FALSE)),"")</formula1>
    </dataValidation>
    <dataValidation type="list" sqref="N615" xr:uid="{CB0ADC87-CFB3-4106-A1B1-A253FD89A4E8}">
      <formula1>=IF(M615&lt;&gt;"",INDIRECT(VLOOKUP(M615,NgachLuongData,4,FALSE)),"")</formula1>
    </dataValidation>
    <dataValidation type="list" sqref="M616" xr:uid="{7D264EB8-FE6C-4416-8CA6-FAC534C428F1}">
      <formula1>=IF(L616&lt;&gt;"",INDIRECT(VLOOKUP(L616,ThangLuongData,3,FALSE)),"")</formula1>
    </dataValidation>
    <dataValidation type="list" sqref="N616" xr:uid="{98E00E32-8580-4481-B097-7B659EC71A98}">
      <formula1>=IF(M616&lt;&gt;"",INDIRECT(VLOOKUP(M616,NgachLuongData,4,FALSE)),"")</formula1>
    </dataValidation>
    <dataValidation type="list" sqref="M617" xr:uid="{0A1E3A82-2306-4FDE-A5B7-DF9E9B88589F}">
      <formula1>=IF(L617&lt;&gt;"",INDIRECT(VLOOKUP(L617,ThangLuongData,3,FALSE)),"")</formula1>
    </dataValidation>
    <dataValidation type="list" sqref="N617" xr:uid="{8CC16F8A-E265-4C14-9B1C-057E67CA0930}">
      <formula1>=IF(M617&lt;&gt;"",INDIRECT(VLOOKUP(M617,NgachLuongData,4,FALSE)),"")</formula1>
    </dataValidation>
    <dataValidation type="list" sqref="M618" xr:uid="{AE99314F-C5A7-4A9B-A74B-D9CD2ABC601D}">
      <formula1>=IF(L618&lt;&gt;"",INDIRECT(VLOOKUP(L618,ThangLuongData,3,FALSE)),"")</formula1>
    </dataValidation>
    <dataValidation type="list" sqref="N618" xr:uid="{55C204EC-23A4-421C-9417-CE4F7681E87D}">
      <formula1>=IF(M618&lt;&gt;"",INDIRECT(VLOOKUP(M618,NgachLuongData,4,FALSE)),"")</formula1>
    </dataValidation>
    <dataValidation type="list" sqref="M619" xr:uid="{488A799E-28DA-4C16-A2BD-96BAE19AA5EE}">
      <formula1>=IF(L619&lt;&gt;"",INDIRECT(VLOOKUP(L619,ThangLuongData,3,FALSE)),"")</formula1>
    </dataValidation>
    <dataValidation type="list" sqref="N619" xr:uid="{1EB66169-AD73-46F9-9A4D-78BD861D62DE}">
      <formula1>=IF(M619&lt;&gt;"",INDIRECT(VLOOKUP(M619,NgachLuongData,4,FALSE)),"")</formula1>
    </dataValidation>
    <dataValidation type="list" sqref="M620" xr:uid="{BE1AB9FB-9719-4321-863E-3CEDF7D7E1EF}">
      <formula1>=IF(L620&lt;&gt;"",INDIRECT(VLOOKUP(L620,ThangLuongData,3,FALSE)),"")</formula1>
    </dataValidation>
    <dataValidation type="list" sqref="N620" xr:uid="{41F6F546-E4B2-4C42-B9B1-06A884D1CD1B}">
      <formula1>=IF(M620&lt;&gt;"",INDIRECT(VLOOKUP(M620,NgachLuongData,4,FALSE)),"")</formula1>
    </dataValidation>
    <dataValidation type="list" sqref="M621" xr:uid="{6EA513E1-2541-4CD4-A751-60349106DFAC}">
      <formula1>=IF(L621&lt;&gt;"",INDIRECT(VLOOKUP(L621,ThangLuongData,3,FALSE)),"")</formula1>
    </dataValidation>
    <dataValidation type="list" sqref="N621" xr:uid="{9BB7ECA0-9CAB-496A-8197-4A674FF33157}">
      <formula1>=IF(M621&lt;&gt;"",INDIRECT(VLOOKUP(M621,NgachLuongData,4,FALSE)),"")</formula1>
    </dataValidation>
    <dataValidation type="list" sqref="M622" xr:uid="{2EFC1ECE-700F-4166-8671-AC5F2824DA24}">
      <formula1>=IF(L622&lt;&gt;"",INDIRECT(VLOOKUP(L622,ThangLuongData,3,FALSE)),"")</formula1>
    </dataValidation>
    <dataValidation type="list" sqref="N622" xr:uid="{4E61E5FA-4E49-46D8-86B3-B695F699999F}">
      <formula1>=IF(M622&lt;&gt;"",INDIRECT(VLOOKUP(M622,NgachLuongData,4,FALSE)),"")</formula1>
    </dataValidation>
    <dataValidation type="list" sqref="M623" xr:uid="{E5B7AF4F-7165-47CA-B1EF-1903596B3D00}">
      <formula1>=IF(L623&lt;&gt;"",INDIRECT(VLOOKUP(L623,ThangLuongData,3,FALSE)),"")</formula1>
    </dataValidation>
    <dataValidation type="list" sqref="N623" xr:uid="{8DC54054-7173-48F9-815E-744DBC5DCF8D}">
      <formula1>=IF(M623&lt;&gt;"",INDIRECT(VLOOKUP(M623,NgachLuongData,4,FALSE)),"")</formula1>
    </dataValidation>
    <dataValidation type="list" sqref="M624" xr:uid="{B7D34C50-81B6-4E7C-989B-CAA1E36309D0}">
      <formula1>=IF(L624&lt;&gt;"",INDIRECT(VLOOKUP(L624,ThangLuongData,3,FALSE)),"")</formula1>
    </dataValidation>
    <dataValidation type="list" sqref="N624" xr:uid="{33C72754-6B43-4315-98E0-38F37E3EE0D8}">
      <formula1>=IF(M624&lt;&gt;"",INDIRECT(VLOOKUP(M624,NgachLuongData,4,FALSE)),"")</formula1>
    </dataValidation>
    <dataValidation type="list" sqref="M625" xr:uid="{AE60715D-AD5A-496B-A5CE-45B2B8921525}">
      <formula1>=IF(L625&lt;&gt;"",INDIRECT(VLOOKUP(L625,ThangLuongData,3,FALSE)),"")</formula1>
    </dataValidation>
    <dataValidation type="list" sqref="N625" xr:uid="{1BEF2ECF-E0A7-4682-B84A-41B177C942E8}">
      <formula1>=IF(M625&lt;&gt;"",INDIRECT(VLOOKUP(M625,NgachLuongData,4,FALSE)),"")</formula1>
    </dataValidation>
    <dataValidation type="list" sqref="M626" xr:uid="{AAD60EA5-1084-4319-B1C1-81E03992FA23}">
      <formula1>=IF(L626&lt;&gt;"",INDIRECT(VLOOKUP(L626,ThangLuongData,3,FALSE)),"")</formula1>
    </dataValidation>
    <dataValidation type="list" sqref="N626" xr:uid="{D5FEB1AA-7825-499A-8219-C6265BFAA9C9}">
      <formula1>=IF(M626&lt;&gt;"",INDIRECT(VLOOKUP(M626,NgachLuongData,4,FALSE)),"")</formula1>
    </dataValidation>
    <dataValidation type="list" sqref="M627" xr:uid="{7BDA2C61-2940-450A-94A7-D945712D8500}">
      <formula1>=IF(L627&lt;&gt;"",INDIRECT(VLOOKUP(L627,ThangLuongData,3,FALSE)),"")</formula1>
    </dataValidation>
    <dataValidation type="list" sqref="N627" xr:uid="{FBA20A99-FA25-4A5B-9DDA-8405DC665C50}">
      <formula1>=IF(M627&lt;&gt;"",INDIRECT(VLOOKUP(M627,NgachLuongData,4,FALSE)),"")</formula1>
    </dataValidation>
    <dataValidation type="list" sqref="M628" xr:uid="{F22277DA-736E-4067-9858-65275E936A6A}">
      <formula1>=IF(L628&lt;&gt;"",INDIRECT(VLOOKUP(L628,ThangLuongData,3,FALSE)),"")</formula1>
    </dataValidation>
    <dataValidation type="list" sqref="N628" xr:uid="{26169BD9-257B-47C4-86D2-77E547757A04}">
      <formula1>=IF(M628&lt;&gt;"",INDIRECT(VLOOKUP(M628,NgachLuongData,4,FALSE)),"")</formula1>
    </dataValidation>
    <dataValidation type="list" sqref="M629" xr:uid="{EAD1706E-A2C3-47FF-9A4A-6C71FFA29593}">
      <formula1>=IF(L629&lt;&gt;"",INDIRECT(VLOOKUP(L629,ThangLuongData,3,FALSE)),"")</formula1>
    </dataValidation>
    <dataValidation type="list" sqref="N629" xr:uid="{7A1DFB27-4A1C-4CE0-B73B-205D8DF057B1}">
      <formula1>=IF(M629&lt;&gt;"",INDIRECT(VLOOKUP(M629,NgachLuongData,4,FALSE)),"")</formula1>
    </dataValidation>
    <dataValidation type="list" sqref="M630" xr:uid="{308DBA8B-4795-48E3-A94E-CC8249CA5899}">
      <formula1>=IF(L630&lt;&gt;"",INDIRECT(VLOOKUP(L630,ThangLuongData,3,FALSE)),"")</formula1>
    </dataValidation>
    <dataValidation type="list" sqref="N630" xr:uid="{3DBC6E33-B2D5-47F5-A6F9-171431F782A5}">
      <formula1>=IF(M630&lt;&gt;"",INDIRECT(VLOOKUP(M630,NgachLuongData,4,FALSE)),"")</formula1>
    </dataValidation>
    <dataValidation type="list" sqref="M631" xr:uid="{2C5BB9D1-29BD-41DC-B5BE-6D3A0257044B}">
      <formula1>=IF(L631&lt;&gt;"",INDIRECT(VLOOKUP(L631,ThangLuongData,3,FALSE)),"")</formula1>
    </dataValidation>
    <dataValidation type="list" sqref="N631" xr:uid="{674C75A7-792F-4AEE-AC0B-05808934DA70}">
      <formula1>=IF(M631&lt;&gt;"",INDIRECT(VLOOKUP(M631,NgachLuongData,4,FALSE)),"")</formula1>
    </dataValidation>
    <dataValidation type="list" sqref="M632" xr:uid="{4A177EAF-D8E8-4DC3-9A77-BE0C1A2EA140}">
      <formula1>=IF(L632&lt;&gt;"",INDIRECT(VLOOKUP(L632,ThangLuongData,3,FALSE)),"")</formula1>
    </dataValidation>
    <dataValidation type="list" sqref="N632" xr:uid="{3A07B3AB-0121-42FB-BF8A-56559CD345B8}">
      <formula1>=IF(M632&lt;&gt;"",INDIRECT(VLOOKUP(M632,NgachLuongData,4,FALSE)),"")</formula1>
    </dataValidation>
    <dataValidation type="list" sqref="M633" xr:uid="{8C19BC04-E57E-4320-8D78-8EDF136B7C4A}">
      <formula1>=IF(L633&lt;&gt;"",INDIRECT(VLOOKUP(L633,ThangLuongData,3,FALSE)),"")</formula1>
    </dataValidation>
    <dataValidation type="list" sqref="N633" xr:uid="{72B2C387-C56C-4BDF-A3DB-03E0077EBF86}">
      <formula1>=IF(M633&lt;&gt;"",INDIRECT(VLOOKUP(M633,NgachLuongData,4,FALSE)),"")</formula1>
    </dataValidation>
    <dataValidation type="list" sqref="M634" xr:uid="{86B08B43-B899-472E-A2B9-8E17E44E8F22}">
      <formula1>=IF(L634&lt;&gt;"",INDIRECT(VLOOKUP(L634,ThangLuongData,3,FALSE)),"")</formula1>
    </dataValidation>
    <dataValidation type="list" sqref="N634" xr:uid="{E9057B79-101C-4EC5-AA97-16BE67B321F6}">
      <formula1>=IF(M634&lt;&gt;"",INDIRECT(VLOOKUP(M634,NgachLuongData,4,FALSE)),"")</formula1>
    </dataValidation>
    <dataValidation type="list" sqref="M635" xr:uid="{56BC9DF6-BFC1-4B96-8E22-4FC893606591}">
      <formula1>=IF(L635&lt;&gt;"",INDIRECT(VLOOKUP(L635,ThangLuongData,3,FALSE)),"")</formula1>
    </dataValidation>
    <dataValidation type="list" sqref="N635" xr:uid="{10DAF338-0ED8-4064-B3AB-0ED65552FCE2}">
      <formula1>=IF(M635&lt;&gt;"",INDIRECT(VLOOKUP(M635,NgachLuongData,4,FALSE)),"")</formula1>
    </dataValidation>
    <dataValidation type="list" sqref="M636" xr:uid="{9B59501C-E978-4B65-A36C-9ADDD37161D5}">
      <formula1>=IF(L636&lt;&gt;"",INDIRECT(VLOOKUP(L636,ThangLuongData,3,FALSE)),"")</formula1>
    </dataValidation>
    <dataValidation type="list" sqref="N636" xr:uid="{9C0279B1-7EE2-40BA-8852-EE179A83DD3C}">
      <formula1>=IF(M636&lt;&gt;"",INDIRECT(VLOOKUP(M636,NgachLuongData,4,FALSE)),"")</formula1>
    </dataValidation>
    <dataValidation type="list" sqref="M637" xr:uid="{BBC434F6-56A5-4E87-9690-0D0BE4C877FD}">
      <formula1>=IF(L637&lt;&gt;"",INDIRECT(VLOOKUP(L637,ThangLuongData,3,FALSE)),"")</formula1>
    </dataValidation>
    <dataValidation type="list" sqref="N637" xr:uid="{1DE735AC-DCE1-4AC8-A348-4044164D16AD}">
      <formula1>=IF(M637&lt;&gt;"",INDIRECT(VLOOKUP(M637,NgachLuongData,4,FALSE)),"")</formula1>
    </dataValidation>
    <dataValidation type="list" sqref="M638" xr:uid="{4941F736-1D14-45B0-9F36-7DCEB78B3FA0}">
      <formula1>=IF(L638&lt;&gt;"",INDIRECT(VLOOKUP(L638,ThangLuongData,3,FALSE)),"")</formula1>
    </dataValidation>
    <dataValidation type="list" sqref="N638" xr:uid="{0C0CC643-A2ED-4939-9392-C765ED6FCFE5}">
      <formula1>=IF(M638&lt;&gt;"",INDIRECT(VLOOKUP(M638,NgachLuongData,4,FALSE)),"")</formula1>
    </dataValidation>
    <dataValidation type="list" sqref="M639" xr:uid="{86D809F6-1C0C-4D55-9CEC-2ADAE3A24433}">
      <formula1>=IF(L639&lt;&gt;"",INDIRECT(VLOOKUP(L639,ThangLuongData,3,FALSE)),"")</formula1>
    </dataValidation>
    <dataValidation type="list" sqref="N639" xr:uid="{085FE754-6F0F-4376-9B25-B7B3A49D3B55}">
      <formula1>=IF(M639&lt;&gt;"",INDIRECT(VLOOKUP(M639,NgachLuongData,4,FALSE)),"")</formula1>
    </dataValidation>
    <dataValidation type="list" sqref="M640" xr:uid="{BA69DD2A-5057-449A-A1D3-B74D09101025}">
      <formula1>=IF(L640&lt;&gt;"",INDIRECT(VLOOKUP(L640,ThangLuongData,3,FALSE)),"")</formula1>
    </dataValidation>
    <dataValidation type="list" sqref="N640" xr:uid="{6A385DC2-5C1C-4E76-A7BE-5ABDFCEC6CDB}">
      <formula1>=IF(M640&lt;&gt;"",INDIRECT(VLOOKUP(M640,NgachLuongData,4,FALSE)),"")</formula1>
    </dataValidation>
    <dataValidation type="list" sqref="M641" xr:uid="{764E7303-7941-4AB0-AC4F-F8C7F53FBE00}">
      <formula1>=IF(L641&lt;&gt;"",INDIRECT(VLOOKUP(L641,ThangLuongData,3,FALSE)),"")</formula1>
    </dataValidation>
    <dataValidation type="list" sqref="N641" xr:uid="{DE83BDDC-99E9-48B0-9DB0-F600DFE48475}">
      <formula1>=IF(M641&lt;&gt;"",INDIRECT(VLOOKUP(M641,NgachLuongData,4,FALSE)),"")</formula1>
    </dataValidation>
    <dataValidation type="list" sqref="M642" xr:uid="{7FBC7FEB-6D5C-48B4-A807-1C321D8E9334}">
      <formula1>=IF(L642&lt;&gt;"",INDIRECT(VLOOKUP(L642,ThangLuongData,3,FALSE)),"")</formula1>
    </dataValidation>
    <dataValidation type="list" sqref="N642" xr:uid="{050E435D-B672-4AC2-9128-A4F33C904531}">
      <formula1>=IF(M642&lt;&gt;"",INDIRECT(VLOOKUP(M642,NgachLuongData,4,FALSE)),"")</formula1>
    </dataValidation>
    <dataValidation type="list" sqref="M643" xr:uid="{0A88FA51-184C-4F96-9291-DD783742C38D}">
      <formula1>=IF(L643&lt;&gt;"",INDIRECT(VLOOKUP(L643,ThangLuongData,3,FALSE)),"")</formula1>
    </dataValidation>
    <dataValidation type="list" sqref="N643" xr:uid="{4C965AE5-F829-4A09-8124-F80A7A6FC592}">
      <formula1>=IF(M643&lt;&gt;"",INDIRECT(VLOOKUP(M643,NgachLuongData,4,FALSE)),"")</formula1>
    </dataValidation>
    <dataValidation type="list" sqref="M644" xr:uid="{33FB6E49-4FDD-4308-9794-2EDA5732B85E}">
      <formula1>=IF(L644&lt;&gt;"",INDIRECT(VLOOKUP(L644,ThangLuongData,3,FALSE)),"")</formula1>
    </dataValidation>
    <dataValidation type="list" sqref="N644" xr:uid="{8252B756-B735-424E-857A-D2BE331CA6DA}">
      <formula1>=IF(M644&lt;&gt;"",INDIRECT(VLOOKUP(M644,NgachLuongData,4,FALSE)),"")</formula1>
    </dataValidation>
    <dataValidation type="list" sqref="M645" xr:uid="{2B7E4F27-D35E-426E-B1D8-52952047BA11}">
      <formula1>=IF(L645&lt;&gt;"",INDIRECT(VLOOKUP(L645,ThangLuongData,3,FALSE)),"")</formula1>
    </dataValidation>
    <dataValidation type="list" sqref="N645" xr:uid="{D4C75B87-4783-46C2-AAE1-003DAF3F1DDA}">
      <formula1>=IF(M645&lt;&gt;"",INDIRECT(VLOOKUP(M645,NgachLuongData,4,FALSE)),"")</formula1>
    </dataValidation>
    <dataValidation type="list" sqref="M646" xr:uid="{33899668-F9DA-4BCC-8387-6EF167C32BD1}">
      <formula1>=IF(L646&lt;&gt;"",INDIRECT(VLOOKUP(L646,ThangLuongData,3,FALSE)),"")</formula1>
    </dataValidation>
    <dataValidation type="list" sqref="N646" xr:uid="{F7E6A8F4-84AF-4896-ABDB-FC6B00D62DB8}">
      <formula1>=IF(M646&lt;&gt;"",INDIRECT(VLOOKUP(M646,NgachLuongData,4,FALSE)),"")</formula1>
    </dataValidation>
    <dataValidation type="list" sqref="M647" xr:uid="{EE13B60B-8156-428C-9446-6ED1CA3360F9}">
      <formula1>=IF(L647&lt;&gt;"",INDIRECT(VLOOKUP(L647,ThangLuongData,3,FALSE)),"")</formula1>
    </dataValidation>
    <dataValidation type="list" sqref="N647" xr:uid="{9990F7AC-AA93-4950-9056-645FC5BE31C8}">
      <formula1>=IF(M647&lt;&gt;"",INDIRECT(VLOOKUP(M647,NgachLuongData,4,FALSE)),"")</formula1>
    </dataValidation>
    <dataValidation type="list" sqref="M648" xr:uid="{C0996FF1-506A-4C60-A498-FEB9786239BD}">
      <formula1>=IF(L648&lt;&gt;"",INDIRECT(VLOOKUP(L648,ThangLuongData,3,FALSE)),"")</formula1>
    </dataValidation>
    <dataValidation type="list" sqref="N648" xr:uid="{45F20F10-5AF8-4C89-84BC-3EB97D494F76}">
      <formula1>=IF(M648&lt;&gt;"",INDIRECT(VLOOKUP(M648,NgachLuongData,4,FALSE)),"")</formula1>
    </dataValidation>
    <dataValidation type="list" sqref="M649" xr:uid="{8246C24A-CBE7-4E28-84F3-1E67C298BC90}">
      <formula1>=IF(L649&lt;&gt;"",INDIRECT(VLOOKUP(L649,ThangLuongData,3,FALSE)),"")</formula1>
    </dataValidation>
    <dataValidation type="list" sqref="N649" xr:uid="{2167B962-E1F2-4A77-B91D-EC23736D7A84}">
      <formula1>=IF(M649&lt;&gt;"",INDIRECT(VLOOKUP(M649,NgachLuongData,4,FALSE)),"")</formula1>
    </dataValidation>
    <dataValidation type="list" sqref="M650" xr:uid="{588BDF64-5FF7-4151-9418-E234D6F6FDBB}">
      <formula1>=IF(L650&lt;&gt;"",INDIRECT(VLOOKUP(L650,ThangLuongData,3,FALSE)),"")</formula1>
    </dataValidation>
    <dataValidation type="list" sqref="N650" xr:uid="{4A4A76CD-3DE7-4177-853F-44E70BE4B6E0}">
      <formula1>=IF(M650&lt;&gt;"",INDIRECT(VLOOKUP(M650,NgachLuongData,4,FALSE)),"")</formula1>
    </dataValidation>
    <dataValidation type="list" sqref="M651" xr:uid="{CDFD9458-E53A-43CD-974E-3626E219BB90}">
      <formula1>=IF(L651&lt;&gt;"",INDIRECT(VLOOKUP(L651,ThangLuongData,3,FALSE)),"")</formula1>
    </dataValidation>
    <dataValidation type="list" sqref="N651" xr:uid="{EBA9C7A5-9183-4FF4-BA2D-A95AD0152ED2}">
      <formula1>=IF(M651&lt;&gt;"",INDIRECT(VLOOKUP(M651,NgachLuongData,4,FALSE)),"")</formula1>
    </dataValidation>
    <dataValidation type="list" sqref="M652" xr:uid="{13BE3AB5-7A7D-4945-9952-BB6B710B40BA}">
      <formula1>=IF(L652&lt;&gt;"",INDIRECT(VLOOKUP(L652,ThangLuongData,3,FALSE)),"")</formula1>
    </dataValidation>
    <dataValidation type="list" sqref="N652" xr:uid="{6A524441-56B7-4CF0-ABA5-D415A4307ED8}">
      <formula1>=IF(M652&lt;&gt;"",INDIRECT(VLOOKUP(M652,NgachLuongData,4,FALSE)),"")</formula1>
    </dataValidation>
    <dataValidation type="list" sqref="M653" xr:uid="{DFD0AECB-4782-443B-B970-A8C6E319CA40}">
      <formula1>=IF(L653&lt;&gt;"",INDIRECT(VLOOKUP(L653,ThangLuongData,3,FALSE)),"")</formula1>
    </dataValidation>
    <dataValidation type="list" sqref="N653" xr:uid="{96EE087A-315B-4DDF-8E06-9FEA2D2C8D80}">
      <formula1>=IF(M653&lt;&gt;"",INDIRECT(VLOOKUP(M653,NgachLuongData,4,FALSE)),"")</formula1>
    </dataValidation>
    <dataValidation type="list" sqref="M654" xr:uid="{E7FAFC6A-5D7C-4C2C-A32F-4E027180EC55}">
      <formula1>=IF(L654&lt;&gt;"",INDIRECT(VLOOKUP(L654,ThangLuongData,3,FALSE)),"")</formula1>
    </dataValidation>
    <dataValidation type="list" sqref="N654" xr:uid="{8D7F29AF-6F1F-4A9F-A7B7-5CF2345D1449}">
      <formula1>=IF(M654&lt;&gt;"",INDIRECT(VLOOKUP(M654,NgachLuongData,4,FALSE)),"")</formula1>
    </dataValidation>
    <dataValidation type="list" sqref="M655" xr:uid="{C8677095-D7E6-463D-BE9C-642DDD30B82F}">
      <formula1>=IF(L655&lt;&gt;"",INDIRECT(VLOOKUP(L655,ThangLuongData,3,FALSE)),"")</formula1>
    </dataValidation>
    <dataValidation type="list" sqref="N655" xr:uid="{4261F8E5-F50D-48DE-A404-21FB365671DD}">
      <formula1>=IF(M655&lt;&gt;"",INDIRECT(VLOOKUP(M655,NgachLuongData,4,FALSE)),"")</formula1>
    </dataValidation>
    <dataValidation type="list" sqref="M656" xr:uid="{BB8B2DD5-0DB0-4A57-876B-03C325F1397D}">
      <formula1>=IF(L656&lt;&gt;"",INDIRECT(VLOOKUP(L656,ThangLuongData,3,FALSE)),"")</formula1>
    </dataValidation>
    <dataValidation type="list" sqref="N656" xr:uid="{DE616404-D825-44F6-9366-1A2D04DC6B7C}">
      <formula1>=IF(M656&lt;&gt;"",INDIRECT(VLOOKUP(M656,NgachLuongData,4,FALSE)),"")</formula1>
    </dataValidation>
    <dataValidation type="list" sqref="M657" xr:uid="{02C7C2B3-6BF1-40DA-89B4-694F3D00FCD9}">
      <formula1>=IF(L657&lt;&gt;"",INDIRECT(VLOOKUP(L657,ThangLuongData,3,FALSE)),"")</formula1>
    </dataValidation>
    <dataValidation type="list" sqref="N657" xr:uid="{C11E4476-C6D3-4FEC-B7F4-F261F0B28D31}">
      <formula1>=IF(M657&lt;&gt;"",INDIRECT(VLOOKUP(M657,NgachLuongData,4,FALSE)),"")</formula1>
    </dataValidation>
    <dataValidation type="list" sqref="M658" xr:uid="{682B8D5C-9710-4681-B2B9-1C68291554AB}">
      <formula1>=IF(L658&lt;&gt;"",INDIRECT(VLOOKUP(L658,ThangLuongData,3,FALSE)),"")</formula1>
    </dataValidation>
    <dataValidation type="list" sqref="N658" xr:uid="{FF1120DF-59F4-4B09-890C-3E920853CB93}">
      <formula1>=IF(M658&lt;&gt;"",INDIRECT(VLOOKUP(M658,NgachLuongData,4,FALSE)),"")</formula1>
    </dataValidation>
    <dataValidation type="list" sqref="M659" xr:uid="{1B97D5DF-B070-41DF-A656-58475D56714A}">
      <formula1>=IF(L659&lt;&gt;"",INDIRECT(VLOOKUP(L659,ThangLuongData,3,FALSE)),"")</formula1>
    </dataValidation>
    <dataValidation type="list" sqref="N659" xr:uid="{CF206F24-06CE-4F53-BC77-A0CA506FC38A}">
      <formula1>=IF(M659&lt;&gt;"",INDIRECT(VLOOKUP(M659,NgachLuongData,4,FALSE)),"")</formula1>
    </dataValidation>
    <dataValidation type="list" sqref="M660" xr:uid="{8FCE0497-C2C9-487F-B69B-F34DD4835BCC}">
      <formula1>=IF(L660&lt;&gt;"",INDIRECT(VLOOKUP(L660,ThangLuongData,3,FALSE)),"")</formula1>
    </dataValidation>
    <dataValidation type="list" sqref="N660" xr:uid="{D384E096-449D-4C73-A743-D492F074BE9B}">
      <formula1>=IF(M660&lt;&gt;"",INDIRECT(VLOOKUP(M660,NgachLuongData,4,FALSE)),"")</formula1>
    </dataValidation>
    <dataValidation type="list" sqref="M661" xr:uid="{6E695A50-A280-4FD2-8CDF-AE3756F8D1DC}">
      <formula1>=IF(L661&lt;&gt;"",INDIRECT(VLOOKUP(L661,ThangLuongData,3,FALSE)),"")</formula1>
    </dataValidation>
    <dataValidation type="list" sqref="N661" xr:uid="{8B938019-D664-4E98-BF0E-F2DDFFD01C18}">
      <formula1>=IF(M661&lt;&gt;"",INDIRECT(VLOOKUP(M661,NgachLuongData,4,FALSE)),"")</formula1>
    </dataValidation>
    <dataValidation type="list" sqref="M662" xr:uid="{C5744C4B-CF57-4884-9DCC-C80AE74C37FD}">
      <formula1>=IF(L662&lt;&gt;"",INDIRECT(VLOOKUP(L662,ThangLuongData,3,FALSE)),"")</formula1>
    </dataValidation>
    <dataValidation type="list" sqref="N662" xr:uid="{674D7C7C-5742-45D4-90F8-0CC3899C34F5}">
      <formula1>=IF(M662&lt;&gt;"",INDIRECT(VLOOKUP(M662,NgachLuongData,4,FALSE)),"")</formula1>
    </dataValidation>
    <dataValidation type="list" sqref="M663" xr:uid="{DC93706A-2F55-44BE-82A8-A64BB7057DDB}">
      <formula1>=IF(L663&lt;&gt;"",INDIRECT(VLOOKUP(L663,ThangLuongData,3,FALSE)),"")</formula1>
    </dataValidation>
    <dataValidation type="list" sqref="N663" xr:uid="{A4CD59CD-0425-4D24-A4A7-7A2D5EA28A3C}">
      <formula1>=IF(M663&lt;&gt;"",INDIRECT(VLOOKUP(M663,NgachLuongData,4,FALSE)),"")</formula1>
    </dataValidation>
    <dataValidation type="list" sqref="M664" xr:uid="{01C7D575-C376-48C0-A6C0-3CFE9769A76C}">
      <formula1>=IF(L664&lt;&gt;"",INDIRECT(VLOOKUP(L664,ThangLuongData,3,FALSE)),"")</formula1>
    </dataValidation>
    <dataValidation type="list" sqref="N664" xr:uid="{D0199ED3-BBF7-4912-92DC-7BEF56BD01D0}">
      <formula1>=IF(M664&lt;&gt;"",INDIRECT(VLOOKUP(M664,NgachLuongData,4,FALSE)),"")</formula1>
    </dataValidation>
    <dataValidation type="list" sqref="M665" xr:uid="{8B63E71D-477D-4045-9E11-E960E259172D}">
      <formula1>=IF(L665&lt;&gt;"",INDIRECT(VLOOKUP(L665,ThangLuongData,3,FALSE)),"")</formula1>
    </dataValidation>
    <dataValidation type="list" sqref="N665" xr:uid="{95431B86-EA3E-4446-98C1-90AE2C29E65C}">
      <formula1>=IF(M665&lt;&gt;"",INDIRECT(VLOOKUP(M665,NgachLuongData,4,FALSE)),"")</formula1>
    </dataValidation>
    <dataValidation type="list" sqref="M666" xr:uid="{8226B850-F1CE-4F59-9A93-B0F9C857D035}">
      <formula1>=IF(L666&lt;&gt;"",INDIRECT(VLOOKUP(L666,ThangLuongData,3,FALSE)),"")</formula1>
    </dataValidation>
    <dataValidation type="list" sqref="N666" xr:uid="{F7E2FB9E-2908-4ADA-AE75-F930804EC42F}">
      <formula1>=IF(M666&lt;&gt;"",INDIRECT(VLOOKUP(M666,NgachLuongData,4,FALSE)),"")</formula1>
    </dataValidation>
    <dataValidation type="list" sqref="M667" xr:uid="{7993CBAD-6D9A-4B2E-8DEC-9503C39232FA}">
      <formula1>=IF(L667&lt;&gt;"",INDIRECT(VLOOKUP(L667,ThangLuongData,3,FALSE)),"")</formula1>
    </dataValidation>
    <dataValidation type="list" sqref="N667" xr:uid="{505F7309-C1BA-486E-AE43-95B025FD60BA}">
      <formula1>=IF(M667&lt;&gt;"",INDIRECT(VLOOKUP(M667,NgachLuongData,4,FALSE)),"")</formula1>
    </dataValidation>
    <dataValidation type="list" sqref="M668" xr:uid="{EE8F966F-E861-43D7-95DA-AA65506C605F}">
      <formula1>=IF(L668&lt;&gt;"",INDIRECT(VLOOKUP(L668,ThangLuongData,3,FALSE)),"")</formula1>
    </dataValidation>
    <dataValidation type="list" sqref="N668" xr:uid="{4DE4E7D8-4AC1-4652-BF50-81059687D9CD}">
      <formula1>=IF(M668&lt;&gt;"",INDIRECT(VLOOKUP(M668,NgachLuongData,4,FALSE)),"")</formula1>
    </dataValidation>
    <dataValidation type="list" sqref="M669" xr:uid="{44C7D4B8-08C4-406A-9C2E-3B7E45CB5239}">
      <formula1>=IF(L669&lt;&gt;"",INDIRECT(VLOOKUP(L669,ThangLuongData,3,FALSE)),"")</formula1>
    </dataValidation>
    <dataValidation type="list" sqref="N669" xr:uid="{556D9A65-B9C4-41E2-9C88-4123B09AE501}">
      <formula1>=IF(M669&lt;&gt;"",INDIRECT(VLOOKUP(M669,NgachLuongData,4,FALSE)),"")</formula1>
    </dataValidation>
    <dataValidation type="list" sqref="M670" xr:uid="{49197600-4B2A-47A3-8FE2-480AD026A0A8}">
      <formula1>=IF(L670&lt;&gt;"",INDIRECT(VLOOKUP(L670,ThangLuongData,3,FALSE)),"")</formula1>
    </dataValidation>
    <dataValidation type="list" sqref="N670" xr:uid="{AD795EF9-DA86-4F43-A2C3-0D59A63B3CA2}">
      <formula1>=IF(M670&lt;&gt;"",INDIRECT(VLOOKUP(M670,NgachLuongData,4,FALSE)),"")</formula1>
    </dataValidation>
    <dataValidation type="list" sqref="M671" xr:uid="{16411C2A-C306-4EA7-B2C0-60F5727897E6}">
      <formula1>=IF(L671&lt;&gt;"",INDIRECT(VLOOKUP(L671,ThangLuongData,3,FALSE)),"")</formula1>
    </dataValidation>
    <dataValidation type="list" sqref="N671" xr:uid="{C2A9F005-CF4D-45A3-85C3-BB60A39C659F}">
      <formula1>=IF(M671&lt;&gt;"",INDIRECT(VLOOKUP(M671,NgachLuongData,4,FALSE)),"")</formula1>
    </dataValidation>
    <dataValidation type="list" sqref="M672" xr:uid="{8061ECEF-B6CA-4972-B5DE-D349927A0DA9}">
      <formula1>=IF(L672&lt;&gt;"",INDIRECT(VLOOKUP(L672,ThangLuongData,3,FALSE)),"")</formula1>
    </dataValidation>
    <dataValidation type="list" sqref="N672" xr:uid="{11569CE3-2654-42FB-8DFD-8A5C2084DECC}">
      <formula1>=IF(M672&lt;&gt;"",INDIRECT(VLOOKUP(M672,NgachLuongData,4,FALSE)),"")</formula1>
    </dataValidation>
    <dataValidation type="list" sqref="M673" xr:uid="{207A5960-204C-4BCE-B912-056A4A610051}">
      <formula1>=IF(L673&lt;&gt;"",INDIRECT(VLOOKUP(L673,ThangLuongData,3,FALSE)),"")</formula1>
    </dataValidation>
    <dataValidation type="list" sqref="N673" xr:uid="{5433DE15-E7E4-4F34-93B8-F16309D3CE37}">
      <formula1>=IF(M673&lt;&gt;"",INDIRECT(VLOOKUP(M673,NgachLuongData,4,FALSE)),"")</formula1>
    </dataValidation>
    <dataValidation type="list" sqref="M674" xr:uid="{EA81DE8A-EB13-4812-A30F-0B95F7EE64E8}">
      <formula1>=IF(L674&lt;&gt;"",INDIRECT(VLOOKUP(L674,ThangLuongData,3,FALSE)),"")</formula1>
    </dataValidation>
    <dataValidation type="list" sqref="N674" xr:uid="{2EFAC7E5-8899-445C-BF8A-DC73468ADF98}">
      <formula1>=IF(M674&lt;&gt;"",INDIRECT(VLOOKUP(M674,NgachLuongData,4,FALSE)),"")</formula1>
    </dataValidation>
    <dataValidation type="list" sqref="M675" xr:uid="{61D19B96-5F3C-41C7-ABE6-095A2CBFF5FE}">
      <formula1>=IF(L675&lt;&gt;"",INDIRECT(VLOOKUP(L675,ThangLuongData,3,FALSE)),"")</formula1>
    </dataValidation>
    <dataValidation type="list" sqref="N675" xr:uid="{5B775C97-D5F4-43BB-916A-EAFAE04F568F}">
      <formula1>=IF(M675&lt;&gt;"",INDIRECT(VLOOKUP(M675,NgachLuongData,4,FALSE)),"")</formula1>
    </dataValidation>
    <dataValidation type="list" sqref="M676" xr:uid="{0BD451D5-4822-4FAD-94DE-DA9E1965BB46}">
      <formula1>=IF(L676&lt;&gt;"",INDIRECT(VLOOKUP(L676,ThangLuongData,3,FALSE)),"")</formula1>
    </dataValidation>
    <dataValidation type="list" sqref="N676" xr:uid="{778B21AE-B894-4106-BE9E-0F121894E6FB}">
      <formula1>=IF(M676&lt;&gt;"",INDIRECT(VLOOKUP(M676,NgachLuongData,4,FALSE)),"")</formula1>
    </dataValidation>
    <dataValidation type="list" sqref="M677" xr:uid="{61E9DB4E-773D-45F3-AF4B-7EDB1A88C831}">
      <formula1>=IF(L677&lt;&gt;"",INDIRECT(VLOOKUP(L677,ThangLuongData,3,FALSE)),"")</formula1>
    </dataValidation>
    <dataValidation type="list" sqref="N677" xr:uid="{1A95919B-A7CA-4509-A6B7-D63AAB9EB319}">
      <formula1>=IF(M677&lt;&gt;"",INDIRECT(VLOOKUP(M677,NgachLuongData,4,FALSE)),"")</formula1>
    </dataValidation>
    <dataValidation type="list" sqref="M678" xr:uid="{69E09FE5-0A92-4433-90B7-C2808268C0B1}">
      <formula1>=IF(L678&lt;&gt;"",INDIRECT(VLOOKUP(L678,ThangLuongData,3,FALSE)),"")</formula1>
    </dataValidation>
    <dataValidation type="list" sqref="N678" xr:uid="{08CED220-AFEB-4186-A905-2256EBCE2A1E}">
      <formula1>=IF(M678&lt;&gt;"",INDIRECT(VLOOKUP(M678,NgachLuongData,4,FALSE)),"")</formula1>
    </dataValidation>
    <dataValidation type="list" sqref="M679" xr:uid="{0005E01F-AF1E-431A-AEC5-79FC1908BCB7}">
      <formula1>=IF(L679&lt;&gt;"",INDIRECT(VLOOKUP(L679,ThangLuongData,3,FALSE)),"")</formula1>
    </dataValidation>
    <dataValidation type="list" sqref="N679" xr:uid="{91FBD291-16C7-45EE-BF82-B85AB5411E0B}">
      <formula1>=IF(M679&lt;&gt;"",INDIRECT(VLOOKUP(M679,NgachLuongData,4,FALSE)),"")</formula1>
    </dataValidation>
    <dataValidation type="list" sqref="M680" xr:uid="{410DF301-23AB-4F72-805E-57372F2F1933}">
      <formula1>=IF(L680&lt;&gt;"",INDIRECT(VLOOKUP(L680,ThangLuongData,3,FALSE)),"")</formula1>
    </dataValidation>
    <dataValidation type="list" sqref="N680" xr:uid="{38B013A7-6BD2-4673-8CDA-E73A2365371F}">
      <formula1>=IF(M680&lt;&gt;"",INDIRECT(VLOOKUP(M680,NgachLuongData,4,FALSE)),"")</formula1>
    </dataValidation>
    <dataValidation type="list" sqref="M681" xr:uid="{6A3BAA90-60EE-4050-B013-8DF676FF61B1}">
      <formula1>=IF(L681&lt;&gt;"",INDIRECT(VLOOKUP(L681,ThangLuongData,3,FALSE)),"")</formula1>
    </dataValidation>
    <dataValidation type="list" sqref="N681" xr:uid="{F9A3E67C-3503-4040-9BAE-EEAC6BDF76AC}">
      <formula1>=IF(M681&lt;&gt;"",INDIRECT(VLOOKUP(M681,NgachLuongData,4,FALSE)),"")</formula1>
    </dataValidation>
    <dataValidation type="list" sqref="M682" xr:uid="{D71DAEE8-047A-43FB-A5AF-48FAC9A00C3E}">
      <formula1>=IF(L682&lt;&gt;"",INDIRECT(VLOOKUP(L682,ThangLuongData,3,FALSE)),"")</formula1>
    </dataValidation>
    <dataValidation type="list" sqref="N682" xr:uid="{7ABC24C6-7A31-4ED1-BE07-06FEE3ED04E9}">
      <formula1>=IF(M682&lt;&gt;"",INDIRECT(VLOOKUP(M682,NgachLuongData,4,FALSE)),"")</formula1>
    </dataValidation>
    <dataValidation type="list" sqref="M683" xr:uid="{BB1AF3C7-56BB-4895-AB2E-C9E1B43DE857}">
      <formula1>=IF(L683&lt;&gt;"",INDIRECT(VLOOKUP(L683,ThangLuongData,3,FALSE)),"")</formula1>
    </dataValidation>
    <dataValidation type="list" sqref="N683" xr:uid="{3D6A4F8A-82C6-46B4-BC1E-B111317B801E}">
      <formula1>=IF(M683&lt;&gt;"",INDIRECT(VLOOKUP(M683,NgachLuongData,4,FALSE)),"")</formula1>
    </dataValidation>
    <dataValidation type="list" sqref="M684" xr:uid="{29EA5064-DC1D-4DAE-8FA1-57C6DC4B170A}">
      <formula1>=IF(L684&lt;&gt;"",INDIRECT(VLOOKUP(L684,ThangLuongData,3,FALSE)),"")</formula1>
    </dataValidation>
    <dataValidation type="list" sqref="N684" xr:uid="{A22C2377-8659-4D2D-9F76-83D72F4AD40B}">
      <formula1>=IF(M684&lt;&gt;"",INDIRECT(VLOOKUP(M684,NgachLuongData,4,FALSE)),"")</formula1>
    </dataValidation>
    <dataValidation type="list" sqref="M685" xr:uid="{C41EEAAF-9DE1-44EE-89B2-E636F980A7CD}">
      <formula1>=IF(L685&lt;&gt;"",INDIRECT(VLOOKUP(L685,ThangLuongData,3,FALSE)),"")</formula1>
    </dataValidation>
    <dataValidation type="list" sqref="N685" xr:uid="{99E3F181-AF9F-4D70-B712-7A86B13AEF91}">
      <formula1>=IF(M685&lt;&gt;"",INDIRECT(VLOOKUP(M685,NgachLuongData,4,FALSE)),"")</formula1>
    </dataValidation>
    <dataValidation type="list" sqref="M686" xr:uid="{D2BDA36B-BBEB-4EAF-8107-EA461D376BA4}">
      <formula1>=IF(L686&lt;&gt;"",INDIRECT(VLOOKUP(L686,ThangLuongData,3,FALSE)),"")</formula1>
    </dataValidation>
    <dataValidation type="list" sqref="N686" xr:uid="{F6426836-E24A-4517-8681-B659A2DC71B8}">
      <formula1>=IF(M686&lt;&gt;"",INDIRECT(VLOOKUP(M686,NgachLuongData,4,FALSE)),"")</formula1>
    </dataValidation>
    <dataValidation type="list" sqref="M687" xr:uid="{B6922EF9-6DE6-46C6-96A7-EAF3E8A76077}">
      <formula1>=IF(L687&lt;&gt;"",INDIRECT(VLOOKUP(L687,ThangLuongData,3,FALSE)),"")</formula1>
    </dataValidation>
    <dataValidation type="list" sqref="N687" xr:uid="{62CA19AA-6917-4EA3-A288-A1075A8C955F}">
      <formula1>=IF(M687&lt;&gt;"",INDIRECT(VLOOKUP(M687,NgachLuongData,4,FALSE)),"")</formula1>
    </dataValidation>
    <dataValidation type="list" sqref="M688" xr:uid="{4CC22737-A303-4289-BA12-48FEB23587F8}">
      <formula1>=IF(L688&lt;&gt;"",INDIRECT(VLOOKUP(L688,ThangLuongData,3,FALSE)),"")</formula1>
    </dataValidation>
    <dataValidation type="list" sqref="N688" xr:uid="{D55A39A4-7468-4FE3-9797-85E9C22ED23E}">
      <formula1>=IF(M688&lt;&gt;"",INDIRECT(VLOOKUP(M688,NgachLuongData,4,FALSE)),"")</formula1>
    </dataValidation>
    <dataValidation type="list" sqref="M689" xr:uid="{F7148104-6400-401C-8091-90318DEFD34F}">
      <formula1>=IF(L689&lt;&gt;"",INDIRECT(VLOOKUP(L689,ThangLuongData,3,FALSE)),"")</formula1>
    </dataValidation>
    <dataValidation type="list" sqref="N689" xr:uid="{3910B39F-499E-41A0-85EB-C19BE041CC14}">
      <formula1>=IF(M689&lt;&gt;"",INDIRECT(VLOOKUP(M689,NgachLuongData,4,FALSE)),"")</formula1>
    </dataValidation>
    <dataValidation type="list" sqref="M690" xr:uid="{8EAFBEE5-72A8-494B-AC0C-5AA8D92D661A}">
      <formula1>=IF(L690&lt;&gt;"",INDIRECT(VLOOKUP(L690,ThangLuongData,3,FALSE)),"")</formula1>
    </dataValidation>
    <dataValidation type="list" sqref="N690" xr:uid="{873796EB-7494-4F17-82C7-9919711AE539}">
      <formula1>=IF(M690&lt;&gt;"",INDIRECT(VLOOKUP(M690,NgachLuongData,4,FALSE)),"")</formula1>
    </dataValidation>
    <dataValidation type="list" sqref="M691" xr:uid="{A44B7BFB-44D9-4B22-B490-D9DC5786CF1D}">
      <formula1>=IF(L691&lt;&gt;"",INDIRECT(VLOOKUP(L691,ThangLuongData,3,FALSE)),"")</formula1>
    </dataValidation>
    <dataValidation type="list" sqref="N691" xr:uid="{AB267D45-6D1B-4D48-896A-2DC45FD15E84}">
      <formula1>=IF(M691&lt;&gt;"",INDIRECT(VLOOKUP(M691,NgachLuongData,4,FALSE)),"")</formula1>
    </dataValidation>
    <dataValidation type="list" sqref="M692" xr:uid="{D5A09E75-73A6-4AEE-8029-0675BCF37311}">
      <formula1>=IF(L692&lt;&gt;"",INDIRECT(VLOOKUP(L692,ThangLuongData,3,FALSE)),"")</formula1>
    </dataValidation>
    <dataValidation type="list" sqref="N692" xr:uid="{9633816F-9AD1-496D-ABFA-CE8EE1DCEFFA}">
      <formula1>=IF(M692&lt;&gt;"",INDIRECT(VLOOKUP(M692,NgachLuongData,4,FALSE)),"")</formula1>
    </dataValidation>
    <dataValidation type="list" sqref="M693" xr:uid="{09F88E28-5AF7-4C7D-8C9C-0C74F8154066}">
      <formula1>=IF(L693&lt;&gt;"",INDIRECT(VLOOKUP(L693,ThangLuongData,3,FALSE)),"")</formula1>
    </dataValidation>
    <dataValidation type="list" sqref="N693" xr:uid="{24174C41-A708-4CAF-BBE2-959FF9B39984}">
      <formula1>=IF(M693&lt;&gt;"",INDIRECT(VLOOKUP(M693,NgachLuongData,4,FALSE)),"")</formula1>
    </dataValidation>
    <dataValidation type="list" sqref="M694" xr:uid="{7C13D300-3EA0-49FC-9BA1-7ECAFDB5D21B}">
      <formula1>=IF(L694&lt;&gt;"",INDIRECT(VLOOKUP(L694,ThangLuongData,3,FALSE)),"")</formula1>
    </dataValidation>
    <dataValidation type="list" sqref="N694" xr:uid="{421251AA-45A0-415E-A1EB-FAD2C9303A49}">
      <formula1>=IF(M694&lt;&gt;"",INDIRECT(VLOOKUP(M694,NgachLuongData,4,FALSE)),"")</formula1>
    </dataValidation>
    <dataValidation type="list" sqref="M695" xr:uid="{D4F4922A-3C5A-413A-B14E-AEF2FCA3159C}">
      <formula1>=IF(L695&lt;&gt;"",INDIRECT(VLOOKUP(L695,ThangLuongData,3,FALSE)),"")</formula1>
    </dataValidation>
    <dataValidation type="list" sqref="N695" xr:uid="{971C03EF-43CE-47AC-A698-44178FECF95E}">
      <formula1>=IF(M695&lt;&gt;"",INDIRECT(VLOOKUP(M695,NgachLuongData,4,FALSE)),"")</formula1>
    </dataValidation>
    <dataValidation type="list" sqref="M696" xr:uid="{B06684BC-EB3E-4913-8E7F-C6B43F50E606}">
      <formula1>=IF(L696&lt;&gt;"",INDIRECT(VLOOKUP(L696,ThangLuongData,3,FALSE)),"")</formula1>
    </dataValidation>
    <dataValidation type="list" sqref="N696" xr:uid="{A3814799-FB58-4D5E-97BF-FB87FC354DF8}">
      <formula1>=IF(M696&lt;&gt;"",INDIRECT(VLOOKUP(M696,NgachLuongData,4,FALSE)),"")</formula1>
    </dataValidation>
    <dataValidation type="list" sqref="M697" xr:uid="{9FE48DA4-A05D-4C43-A224-F73206C3E8E3}">
      <formula1>=IF(L697&lt;&gt;"",INDIRECT(VLOOKUP(L697,ThangLuongData,3,FALSE)),"")</formula1>
    </dataValidation>
    <dataValidation type="list" sqref="N697" xr:uid="{5B959F47-5A6B-4C2D-ACD9-A93DEBEC80CD}">
      <formula1>=IF(M697&lt;&gt;"",INDIRECT(VLOOKUP(M697,NgachLuongData,4,FALSE)),"")</formula1>
    </dataValidation>
    <dataValidation type="list" sqref="M698" xr:uid="{7BF31285-8C16-4CA4-9E58-23F8D9B6E24E}">
      <formula1>=IF(L698&lt;&gt;"",INDIRECT(VLOOKUP(L698,ThangLuongData,3,FALSE)),"")</formula1>
    </dataValidation>
    <dataValidation type="list" sqref="N698" xr:uid="{8B81EAA6-4E1F-4F13-984B-78997FE7E1FC}">
      <formula1>=IF(M698&lt;&gt;"",INDIRECT(VLOOKUP(M698,NgachLuongData,4,FALSE)),"")</formula1>
    </dataValidation>
    <dataValidation type="list" sqref="M699" xr:uid="{11EF0AF0-7D3D-47B8-808E-7DB56B5E88C4}">
      <formula1>=IF(L699&lt;&gt;"",INDIRECT(VLOOKUP(L699,ThangLuongData,3,FALSE)),"")</formula1>
    </dataValidation>
    <dataValidation type="list" sqref="N699" xr:uid="{FFCFF144-2A50-460D-9369-78E80344271F}">
      <formula1>=IF(M699&lt;&gt;"",INDIRECT(VLOOKUP(M699,NgachLuongData,4,FALSE)),"")</formula1>
    </dataValidation>
    <dataValidation type="list" sqref="M700" xr:uid="{8D207C77-08FB-41A3-A1D6-27F333F1DCE4}">
      <formula1>=IF(L700&lt;&gt;"",INDIRECT(VLOOKUP(L700,ThangLuongData,3,FALSE)),"")</formula1>
    </dataValidation>
    <dataValidation type="list" sqref="N700" xr:uid="{527AADDF-72BE-4544-83CF-1ED30DD4F089}">
      <formula1>=IF(M700&lt;&gt;"",INDIRECT(VLOOKUP(M700,NgachLuongData,4,FALSE)),"")</formula1>
    </dataValidation>
    <dataValidation type="list" sqref="M701" xr:uid="{25111886-53B5-40EF-8093-8F7BABB23D4A}">
      <formula1>=IF(L701&lt;&gt;"",INDIRECT(VLOOKUP(L701,ThangLuongData,3,FALSE)),"")</formula1>
    </dataValidation>
    <dataValidation type="list" sqref="N701" xr:uid="{10D8644E-9AC5-4BC6-A019-C2AC457EAAB8}">
      <formula1>=IF(M701&lt;&gt;"",INDIRECT(VLOOKUP(M701,NgachLuongData,4,FALSE)),"")</formula1>
    </dataValidation>
    <dataValidation type="list" sqref="M702" xr:uid="{CBCADC4E-14B0-4C71-B91F-7BD285E3D1D6}">
      <formula1>=IF(L702&lt;&gt;"",INDIRECT(VLOOKUP(L702,ThangLuongData,3,FALSE)),"")</formula1>
    </dataValidation>
    <dataValidation type="list" sqref="N702" xr:uid="{1E634F64-1B02-48BC-8F98-C32B31F80871}">
      <formula1>=IF(M702&lt;&gt;"",INDIRECT(VLOOKUP(M702,NgachLuongData,4,FALSE)),"")</formula1>
    </dataValidation>
    <dataValidation type="list" sqref="M703" xr:uid="{DD071D5E-AC73-4E62-A3A3-E68B226D6A6E}">
      <formula1>=IF(L703&lt;&gt;"",INDIRECT(VLOOKUP(L703,ThangLuongData,3,FALSE)),"")</formula1>
    </dataValidation>
    <dataValidation type="list" sqref="N703" xr:uid="{78C06E6E-F008-488C-9259-AD3F13BACD61}">
      <formula1>=IF(M703&lt;&gt;"",INDIRECT(VLOOKUP(M703,NgachLuongData,4,FALSE)),"")</formula1>
    </dataValidation>
    <dataValidation type="list" sqref="M704" xr:uid="{3FC3C9EE-DA8A-4C19-9F68-FC248DD05FF2}">
      <formula1>=IF(L704&lt;&gt;"",INDIRECT(VLOOKUP(L704,ThangLuongData,3,FALSE)),"")</formula1>
    </dataValidation>
    <dataValidation type="list" sqref="N704" xr:uid="{43234CF1-C1D9-440E-9943-F7F382BCD037}">
      <formula1>=IF(M704&lt;&gt;"",INDIRECT(VLOOKUP(M704,NgachLuongData,4,FALSE)),"")</formula1>
    </dataValidation>
    <dataValidation type="list" sqref="M705" xr:uid="{382730C6-9E7F-4059-9DD3-ADEEAD16D492}">
      <formula1>=IF(L705&lt;&gt;"",INDIRECT(VLOOKUP(L705,ThangLuongData,3,FALSE)),"")</formula1>
    </dataValidation>
    <dataValidation type="list" sqref="N705" xr:uid="{A257B7CF-A1E6-4B2D-BE30-FFF62550A1F7}">
      <formula1>=IF(M705&lt;&gt;"",INDIRECT(VLOOKUP(M705,NgachLuongData,4,FALSE)),"")</formula1>
    </dataValidation>
    <dataValidation type="list" sqref="M706" xr:uid="{019B6382-672D-4A98-9898-B5AC838CDD11}">
      <formula1>=IF(L706&lt;&gt;"",INDIRECT(VLOOKUP(L706,ThangLuongData,3,FALSE)),"")</formula1>
    </dataValidation>
    <dataValidation type="list" sqref="N706" xr:uid="{72CE97C5-CED4-4BFE-8DE4-4F87F613FEC8}">
      <formula1>=IF(M706&lt;&gt;"",INDIRECT(VLOOKUP(M706,NgachLuongData,4,FALSE)),"")</formula1>
    </dataValidation>
    <dataValidation type="list" sqref="M707" xr:uid="{555A383C-F82B-4B2B-93F2-A1DCFCA57238}">
      <formula1>=IF(L707&lt;&gt;"",INDIRECT(VLOOKUP(L707,ThangLuongData,3,FALSE)),"")</formula1>
    </dataValidation>
    <dataValidation type="list" sqref="N707" xr:uid="{D92C5598-8966-4153-A237-3851283F4599}">
      <formula1>=IF(M707&lt;&gt;"",INDIRECT(VLOOKUP(M707,NgachLuongData,4,FALSE)),"")</formula1>
    </dataValidation>
    <dataValidation type="list" sqref="M708" xr:uid="{A8E32614-F681-4259-B575-680108D0ACEF}">
      <formula1>=IF(L708&lt;&gt;"",INDIRECT(VLOOKUP(L708,ThangLuongData,3,FALSE)),"")</formula1>
    </dataValidation>
    <dataValidation type="list" sqref="N708" xr:uid="{AFEA9AF3-2B71-495E-B50B-712F1C2D1438}">
      <formula1>=IF(M708&lt;&gt;"",INDIRECT(VLOOKUP(M708,NgachLuongData,4,FALSE)),"")</formula1>
    </dataValidation>
    <dataValidation type="list" sqref="M709" xr:uid="{4AFC47E5-A5B1-4DCD-8059-8243054CF8D7}">
      <formula1>=IF(L709&lt;&gt;"",INDIRECT(VLOOKUP(L709,ThangLuongData,3,FALSE)),"")</formula1>
    </dataValidation>
    <dataValidation type="list" sqref="N709" xr:uid="{9075E319-7B5F-4A10-8A1C-B9CCE0AF726E}">
      <formula1>=IF(M709&lt;&gt;"",INDIRECT(VLOOKUP(M709,NgachLuongData,4,FALSE)),"")</formula1>
    </dataValidation>
    <dataValidation type="list" sqref="M710" xr:uid="{5B3D7B83-F75A-4515-8856-5CDB27445718}">
      <formula1>=IF(L710&lt;&gt;"",INDIRECT(VLOOKUP(L710,ThangLuongData,3,FALSE)),"")</formula1>
    </dataValidation>
    <dataValidation type="list" sqref="N710" xr:uid="{35EC1A7C-C0B2-4217-B258-62EAE3E87551}">
      <formula1>=IF(M710&lt;&gt;"",INDIRECT(VLOOKUP(M710,NgachLuongData,4,FALSE)),"")</formula1>
    </dataValidation>
    <dataValidation type="list" sqref="M711" xr:uid="{BD35C05F-B997-48F2-9113-800E946E2620}">
      <formula1>=IF(L711&lt;&gt;"",INDIRECT(VLOOKUP(L711,ThangLuongData,3,FALSE)),"")</formula1>
    </dataValidation>
    <dataValidation type="list" sqref="N711" xr:uid="{16336073-04F3-46F7-AEC2-2F0FDEE8748F}">
      <formula1>=IF(M711&lt;&gt;"",INDIRECT(VLOOKUP(M711,NgachLuongData,4,FALSE)),"")</formula1>
    </dataValidation>
    <dataValidation type="list" sqref="M712" xr:uid="{B78F8C4F-5F04-4FD5-ADFE-CDF859D5B516}">
      <formula1>=IF(L712&lt;&gt;"",INDIRECT(VLOOKUP(L712,ThangLuongData,3,FALSE)),"")</formula1>
    </dataValidation>
    <dataValidation type="list" sqref="N712" xr:uid="{455FC6DC-1D0F-4B5D-A4F8-D3F2ADC0B999}">
      <formula1>=IF(M712&lt;&gt;"",INDIRECT(VLOOKUP(M712,NgachLuongData,4,FALSE)),"")</formula1>
    </dataValidation>
    <dataValidation type="list" sqref="M713" xr:uid="{8BF36E50-1BE0-4187-8C0E-796B2C60CAE1}">
      <formula1>=IF(L713&lt;&gt;"",INDIRECT(VLOOKUP(L713,ThangLuongData,3,FALSE)),"")</formula1>
    </dataValidation>
    <dataValidation type="list" sqref="N713" xr:uid="{4946AA90-BACF-41CF-997A-FEA2DDEFCD65}">
      <formula1>=IF(M713&lt;&gt;"",INDIRECT(VLOOKUP(M713,NgachLuongData,4,FALSE)),"")</formula1>
    </dataValidation>
    <dataValidation type="list" sqref="M714" xr:uid="{174332DE-0EBC-428F-A7FB-74CFFD557AE7}">
      <formula1>=IF(L714&lt;&gt;"",INDIRECT(VLOOKUP(L714,ThangLuongData,3,FALSE)),"")</formula1>
    </dataValidation>
    <dataValidation type="list" sqref="N714" xr:uid="{BE8CA11F-3A78-4382-9733-FF525E6B80A6}">
      <formula1>=IF(M714&lt;&gt;"",INDIRECT(VLOOKUP(M714,NgachLuongData,4,FALSE)),"")</formula1>
    </dataValidation>
    <dataValidation type="list" sqref="M715" xr:uid="{FC7563C5-26CB-4D90-A9D4-0EF13E35892C}">
      <formula1>=IF(L715&lt;&gt;"",INDIRECT(VLOOKUP(L715,ThangLuongData,3,FALSE)),"")</formula1>
    </dataValidation>
    <dataValidation type="list" sqref="N715" xr:uid="{AE8B6C59-A8A8-46C9-B7E2-337EE4246695}">
      <formula1>=IF(M715&lt;&gt;"",INDIRECT(VLOOKUP(M715,NgachLuongData,4,FALSE)),"")</formula1>
    </dataValidation>
    <dataValidation type="list" sqref="M716" xr:uid="{A75A7312-9825-4B60-AD8B-0654A49333C2}">
      <formula1>=IF(L716&lt;&gt;"",INDIRECT(VLOOKUP(L716,ThangLuongData,3,FALSE)),"")</formula1>
    </dataValidation>
    <dataValidation type="list" sqref="N716" xr:uid="{92DA6080-70B8-4BD3-8A0C-4371E2D4B4E5}">
      <formula1>=IF(M716&lt;&gt;"",INDIRECT(VLOOKUP(M716,NgachLuongData,4,FALSE)),"")</formula1>
    </dataValidation>
    <dataValidation type="list" sqref="M717" xr:uid="{7DE7F780-51B0-4F88-8E93-6B83AC6FE816}">
      <formula1>=IF(L717&lt;&gt;"",INDIRECT(VLOOKUP(L717,ThangLuongData,3,FALSE)),"")</formula1>
    </dataValidation>
    <dataValidation type="list" sqref="N717" xr:uid="{1E432555-3952-4C7F-9BEF-BE2E040D4D2D}">
      <formula1>=IF(M717&lt;&gt;"",INDIRECT(VLOOKUP(M717,NgachLuongData,4,FALSE)),"")</formula1>
    </dataValidation>
    <dataValidation type="list" sqref="M718" xr:uid="{F3A5FE4D-9591-4F96-8CB7-D6EA801A3E27}">
      <formula1>=IF(L718&lt;&gt;"",INDIRECT(VLOOKUP(L718,ThangLuongData,3,FALSE)),"")</formula1>
    </dataValidation>
    <dataValidation type="list" sqref="N718" xr:uid="{3EFF20F6-9DB5-4FFA-B67B-2E30E276313B}">
      <formula1>=IF(M718&lt;&gt;"",INDIRECT(VLOOKUP(M718,NgachLuongData,4,FALSE)),"")</formula1>
    </dataValidation>
    <dataValidation type="list" sqref="M719" xr:uid="{3B5BFC80-E10E-408B-8098-5ECE6912A05F}">
      <formula1>=IF(L719&lt;&gt;"",INDIRECT(VLOOKUP(L719,ThangLuongData,3,FALSE)),"")</formula1>
    </dataValidation>
    <dataValidation type="list" sqref="N719" xr:uid="{0DFB78E3-0975-4D1F-AB09-6895C62C735A}">
      <formula1>=IF(M719&lt;&gt;"",INDIRECT(VLOOKUP(M719,NgachLuongData,4,FALSE)),"")</formula1>
    </dataValidation>
    <dataValidation type="list" sqref="M720" xr:uid="{18BB3ADA-DCDF-4560-8635-EA4872C68234}">
      <formula1>=IF(L720&lt;&gt;"",INDIRECT(VLOOKUP(L720,ThangLuongData,3,FALSE)),"")</formula1>
    </dataValidation>
    <dataValidation type="list" sqref="N720" xr:uid="{8CEE34A8-0CF0-46C4-A600-BDA1AC57D0D6}">
      <formula1>=IF(M720&lt;&gt;"",INDIRECT(VLOOKUP(M720,NgachLuongData,4,FALSE)),"")</formula1>
    </dataValidation>
    <dataValidation type="list" sqref="M721" xr:uid="{8ECDEA9B-9375-445C-BD37-EDD00857BA96}">
      <formula1>=IF(L721&lt;&gt;"",INDIRECT(VLOOKUP(L721,ThangLuongData,3,FALSE)),"")</formula1>
    </dataValidation>
    <dataValidation type="list" sqref="N721" xr:uid="{7C79E81D-B7FD-4FA1-9323-B361F7DF3BD6}">
      <formula1>=IF(M721&lt;&gt;"",INDIRECT(VLOOKUP(M721,NgachLuongData,4,FALSE)),"")</formula1>
    </dataValidation>
    <dataValidation type="list" sqref="M722" xr:uid="{74DC2F83-EAA8-4C1D-BCF6-7B80FD307F65}">
      <formula1>=IF(L722&lt;&gt;"",INDIRECT(VLOOKUP(L722,ThangLuongData,3,FALSE)),"")</formula1>
    </dataValidation>
    <dataValidation type="list" sqref="N722" xr:uid="{A898668B-BCF2-49EF-9323-9D9A95626735}">
      <formula1>=IF(M722&lt;&gt;"",INDIRECT(VLOOKUP(M722,NgachLuongData,4,FALSE)),"")</formula1>
    </dataValidation>
    <dataValidation type="list" sqref="M723" xr:uid="{EF2596FF-5DDF-4F51-B46A-7A878EDD56D8}">
      <formula1>=IF(L723&lt;&gt;"",INDIRECT(VLOOKUP(L723,ThangLuongData,3,FALSE)),"")</formula1>
    </dataValidation>
    <dataValidation type="list" sqref="N723" xr:uid="{165C56EC-867A-439F-A3AC-FF728A35490B}">
      <formula1>=IF(M723&lt;&gt;"",INDIRECT(VLOOKUP(M723,NgachLuongData,4,FALSE)),"")</formula1>
    </dataValidation>
    <dataValidation type="list" sqref="M724" xr:uid="{6BAD022B-9761-45AE-BD44-B8BCF52AE983}">
      <formula1>=IF(L724&lt;&gt;"",INDIRECT(VLOOKUP(L724,ThangLuongData,3,FALSE)),"")</formula1>
    </dataValidation>
    <dataValidation type="list" sqref="N724" xr:uid="{B3713482-463D-4E2C-9F27-41938F5C26C1}">
      <formula1>=IF(M724&lt;&gt;"",INDIRECT(VLOOKUP(M724,NgachLuongData,4,FALSE)),"")</formula1>
    </dataValidation>
    <dataValidation type="list" sqref="M725" xr:uid="{9DBFB699-102A-45CE-AA08-9A0C824CEAA6}">
      <formula1>=IF(L725&lt;&gt;"",INDIRECT(VLOOKUP(L725,ThangLuongData,3,FALSE)),"")</formula1>
    </dataValidation>
    <dataValidation type="list" sqref="N725" xr:uid="{25358CFE-2CEE-44D9-8555-1231F5D05F1B}">
      <formula1>=IF(M725&lt;&gt;"",INDIRECT(VLOOKUP(M725,NgachLuongData,4,FALSE)),"")</formula1>
    </dataValidation>
    <dataValidation type="list" sqref="M726" xr:uid="{2C91F31F-69B2-452F-B250-A93C2CCC7F2D}">
      <formula1>=IF(L726&lt;&gt;"",INDIRECT(VLOOKUP(L726,ThangLuongData,3,FALSE)),"")</formula1>
    </dataValidation>
    <dataValidation type="list" sqref="N726" xr:uid="{549E3906-03BA-4A93-9F9B-B26F5BA059EB}">
      <formula1>=IF(M726&lt;&gt;"",INDIRECT(VLOOKUP(M726,NgachLuongData,4,FALSE)),"")</formula1>
    </dataValidation>
    <dataValidation type="list" sqref="M727" xr:uid="{99EC2822-CB30-4F88-94E2-01E36BF39D9B}">
      <formula1>=IF(L727&lt;&gt;"",INDIRECT(VLOOKUP(L727,ThangLuongData,3,FALSE)),"")</formula1>
    </dataValidation>
    <dataValidation type="list" sqref="N727" xr:uid="{5C40AF3D-C5BF-4C7E-BC75-98E4F6983D18}">
      <formula1>=IF(M727&lt;&gt;"",INDIRECT(VLOOKUP(M727,NgachLuongData,4,FALSE)),"")</formula1>
    </dataValidation>
    <dataValidation type="list" sqref="M728" xr:uid="{0120348A-D051-46CA-8D24-92576F9864F4}">
      <formula1>=IF(L728&lt;&gt;"",INDIRECT(VLOOKUP(L728,ThangLuongData,3,FALSE)),"")</formula1>
    </dataValidation>
    <dataValidation type="list" sqref="N728" xr:uid="{7E2B9A3C-186C-4F5E-B063-D834BA6B5DCB}">
      <formula1>=IF(M728&lt;&gt;"",INDIRECT(VLOOKUP(M728,NgachLuongData,4,FALSE)),"")</formula1>
    </dataValidation>
    <dataValidation type="list" sqref="M729" xr:uid="{37802EBE-3355-449E-BEA8-9EC0A1A66131}">
      <formula1>=IF(L729&lt;&gt;"",INDIRECT(VLOOKUP(L729,ThangLuongData,3,FALSE)),"")</formula1>
    </dataValidation>
    <dataValidation type="list" sqref="N729" xr:uid="{16975BAC-8B46-44CB-92F5-D6DCCF4C0408}">
      <formula1>=IF(M729&lt;&gt;"",INDIRECT(VLOOKUP(M729,NgachLuongData,4,FALSE)),"")</formula1>
    </dataValidation>
    <dataValidation type="list" sqref="M730" xr:uid="{0E8BC3DC-3184-4745-93C2-0D1907DEE3BD}">
      <formula1>=IF(L730&lt;&gt;"",INDIRECT(VLOOKUP(L730,ThangLuongData,3,FALSE)),"")</formula1>
    </dataValidation>
    <dataValidation type="list" sqref="N730" xr:uid="{AC1D8EE9-B15F-491B-AEE2-07E4F2794C30}">
      <formula1>=IF(M730&lt;&gt;"",INDIRECT(VLOOKUP(M730,NgachLuongData,4,FALSE)),"")</formula1>
    </dataValidation>
    <dataValidation type="list" sqref="M731" xr:uid="{1ACA80BB-41A9-4180-BFA3-52439A2D1190}">
      <formula1>=IF(L731&lt;&gt;"",INDIRECT(VLOOKUP(L731,ThangLuongData,3,FALSE)),"")</formula1>
    </dataValidation>
    <dataValidation type="list" sqref="N731" xr:uid="{7CF720E9-1401-4DEA-AD8A-0344598FD686}">
      <formula1>=IF(M731&lt;&gt;"",INDIRECT(VLOOKUP(M731,NgachLuongData,4,FALSE)),"")</formula1>
    </dataValidation>
    <dataValidation type="list" sqref="M732" xr:uid="{2F2C3465-F86A-45F6-B9B2-1B3CA02F8FBF}">
      <formula1>=IF(L732&lt;&gt;"",INDIRECT(VLOOKUP(L732,ThangLuongData,3,FALSE)),"")</formula1>
    </dataValidation>
    <dataValidation type="list" sqref="N732" xr:uid="{8A530A15-CEDE-4A6E-B272-92F4CA306EAB}">
      <formula1>=IF(M732&lt;&gt;"",INDIRECT(VLOOKUP(M732,NgachLuongData,4,FALSE)),"")</formula1>
    </dataValidation>
    <dataValidation type="list" sqref="M733" xr:uid="{3B612A2E-FCF7-4A44-8EB9-59453B628158}">
      <formula1>=IF(L733&lt;&gt;"",INDIRECT(VLOOKUP(L733,ThangLuongData,3,FALSE)),"")</formula1>
    </dataValidation>
    <dataValidation type="list" sqref="N733" xr:uid="{E4D4D269-89AE-42D0-90E0-E4ED0C5F1C17}">
      <formula1>=IF(M733&lt;&gt;"",INDIRECT(VLOOKUP(M733,NgachLuongData,4,FALSE)),"")</formula1>
    </dataValidation>
    <dataValidation type="list" sqref="M734" xr:uid="{2724E7D3-1D64-48DD-AF91-C03A7F9AD4ED}">
      <formula1>=IF(L734&lt;&gt;"",INDIRECT(VLOOKUP(L734,ThangLuongData,3,FALSE)),"")</formula1>
    </dataValidation>
    <dataValidation type="list" sqref="N734" xr:uid="{01C11768-615C-4AB7-BE91-D85B0B8A0631}">
      <formula1>=IF(M734&lt;&gt;"",INDIRECT(VLOOKUP(M734,NgachLuongData,4,FALSE)),"")</formula1>
    </dataValidation>
    <dataValidation type="list" sqref="M735" xr:uid="{0107FCEE-E9EB-4AC9-B078-DF481B770BB1}">
      <formula1>=IF(L735&lt;&gt;"",INDIRECT(VLOOKUP(L735,ThangLuongData,3,FALSE)),"")</formula1>
    </dataValidation>
    <dataValidation type="list" sqref="N735" xr:uid="{DF89F94E-88EA-4876-A7C8-D932B75FB6AE}">
      <formula1>=IF(M735&lt;&gt;"",INDIRECT(VLOOKUP(M735,NgachLuongData,4,FALSE)),"")</formula1>
    </dataValidation>
    <dataValidation type="list" sqref="M736" xr:uid="{1CC6D1BF-5197-4A51-A18E-9CC8D5F36B31}">
      <formula1>=IF(L736&lt;&gt;"",INDIRECT(VLOOKUP(L736,ThangLuongData,3,FALSE)),"")</formula1>
    </dataValidation>
    <dataValidation type="list" sqref="N736" xr:uid="{A93DC3A7-8CA3-405C-A43C-B650AD330381}">
      <formula1>=IF(M736&lt;&gt;"",INDIRECT(VLOOKUP(M736,NgachLuongData,4,FALSE)),"")</formula1>
    </dataValidation>
    <dataValidation type="list" sqref="M737" xr:uid="{EF0E9BD5-0145-4915-98F9-885E2874F39D}">
      <formula1>=IF(L737&lt;&gt;"",INDIRECT(VLOOKUP(L737,ThangLuongData,3,FALSE)),"")</formula1>
    </dataValidation>
    <dataValidation type="list" sqref="N737" xr:uid="{D4EB2623-5E34-479F-BCC3-B615942275B5}">
      <formula1>=IF(M737&lt;&gt;"",INDIRECT(VLOOKUP(M737,NgachLuongData,4,FALSE)),"")</formula1>
    </dataValidation>
    <dataValidation type="list" sqref="M738" xr:uid="{AD4864D0-C08A-4673-A144-7EC21574138A}">
      <formula1>=IF(L738&lt;&gt;"",INDIRECT(VLOOKUP(L738,ThangLuongData,3,FALSE)),"")</formula1>
    </dataValidation>
    <dataValidation type="list" sqref="N738" xr:uid="{151BAC88-D363-4112-A540-A97E99404CA3}">
      <formula1>=IF(M738&lt;&gt;"",INDIRECT(VLOOKUP(M738,NgachLuongData,4,FALSE)),"")</formula1>
    </dataValidation>
    <dataValidation type="list" sqref="M739" xr:uid="{369FA65B-6264-43D0-B448-EDA7AE935B71}">
      <formula1>=IF(L739&lt;&gt;"",INDIRECT(VLOOKUP(L739,ThangLuongData,3,FALSE)),"")</formula1>
    </dataValidation>
    <dataValidation type="list" sqref="N739" xr:uid="{A88D42F4-9852-40B1-8D80-01CC47FAE22B}">
      <formula1>=IF(M739&lt;&gt;"",INDIRECT(VLOOKUP(M739,NgachLuongData,4,FALSE)),"")</formula1>
    </dataValidation>
    <dataValidation type="list" sqref="M740" xr:uid="{8584979B-7D4B-47C2-965D-2B8E00A86D48}">
      <formula1>=IF(L740&lt;&gt;"",INDIRECT(VLOOKUP(L740,ThangLuongData,3,FALSE)),"")</formula1>
    </dataValidation>
    <dataValidation type="list" sqref="N740" xr:uid="{7D9C2954-5912-4CD6-8449-2AE4B4130894}">
      <formula1>=IF(M740&lt;&gt;"",INDIRECT(VLOOKUP(M740,NgachLuongData,4,FALSE)),"")</formula1>
    </dataValidation>
    <dataValidation type="list" sqref="M741" xr:uid="{8471C8AD-024F-4461-B903-B887442715A4}">
      <formula1>=IF(L741&lt;&gt;"",INDIRECT(VLOOKUP(L741,ThangLuongData,3,FALSE)),"")</formula1>
    </dataValidation>
    <dataValidation type="list" sqref="N741" xr:uid="{50B35333-6D6B-49A5-ACB0-58420E2C0B48}">
      <formula1>=IF(M741&lt;&gt;"",INDIRECT(VLOOKUP(M741,NgachLuongData,4,FALSE)),"")</formula1>
    </dataValidation>
    <dataValidation type="list" sqref="M742" xr:uid="{6619822A-BCD9-461B-B7D4-1C8990DF2154}">
      <formula1>=IF(L742&lt;&gt;"",INDIRECT(VLOOKUP(L742,ThangLuongData,3,FALSE)),"")</formula1>
    </dataValidation>
    <dataValidation type="list" sqref="N742" xr:uid="{FC7C07DE-7D98-45EA-B5E2-AE7F2656B4A0}">
      <formula1>=IF(M742&lt;&gt;"",INDIRECT(VLOOKUP(M742,NgachLuongData,4,FALSE)),"")</formula1>
    </dataValidation>
    <dataValidation type="list" sqref="M743" xr:uid="{54D32BF9-E670-4CC3-86E5-99ED276FB632}">
      <formula1>=IF(L743&lt;&gt;"",INDIRECT(VLOOKUP(L743,ThangLuongData,3,FALSE)),"")</formula1>
    </dataValidation>
    <dataValidation type="list" sqref="N743" xr:uid="{226D9312-1E65-49D2-9772-7A3B1586DC69}">
      <formula1>=IF(M743&lt;&gt;"",INDIRECT(VLOOKUP(M743,NgachLuongData,4,FALSE)),"")</formula1>
    </dataValidation>
    <dataValidation type="list" sqref="M744" xr:uid="{177F1D47-DB4A-420A-BCE7-11DC2981AD11}">
      <formula1>=IF(L744&lt;&gt;"",INDIRECT(VLOOKUP(L744,ThangLuongData,3,FALSE)),"")</formula1>
    </dataValidation>
    <dataValidation type="list" sqref="N744" xr:uid="{2197423A-1754-41CD-98FE-707F4B880E04}">
      <formula1>=IF(M744&lt;&gt;"",INDIRECT(VLOOKUP(M744,NgachLuongData,4,FALSE)),"")</formula1>
    </dataValidation>
    <dataValidation type="list" sqref="M745" xr:uid="{4CEBB9B9-940C-419D-8A49-CAAC81CF85AC}">
      <formula1>=IF(L745&lt;&gt;"",INDIRECT(VLOOKUP(L745,ThangLuongData,3,FALSE)),"")</formula1>
    </dataValidation>
    <dataValidation type="list" sqref="N745" xr:uid="{BD3B7D1B-364D-4DF2-93D7-E8F81A5C3D42}">
      <formula1>=IF(M745&lt;&gt;"",INDIRECT(VLOOKUP(M745,NgachLuongData,4,FALSE)),"")</formula1>
    </dataValidation>
    <dataValidation type="list" sqref="M746" xr:uid="{A15638AD-1DC8-4612-90FD-832D23AAB37D}">
      <formula1>=IF(L746&lt;&gt;"",INDIRECT(VLOOKUP(L746,ThangLuongData,3,FALSE)),"")</formula1>
    </dataValidation>
    <dataValidation type="list" sqref="N746" xr:uid="{8E4C4949-00B6-4625-84CF-4D8BC39827CC}">
      <formula1>=IF(M746&lt;&gt;"",INDIRECT(VLOOKUP(M746,NgachLuongData,4,FALSE)),"")</formula1>
    </dataValidation>
    <dataValidation type="list" sqref="M747" xr:uid="{E6BE02E7-4049-4020-ABCB-39D77F1D40FE}">
      <formula1>=IF(L747&lt;&gt;"",INDIRECT(VLOOKUP(L747,ThangLuongData,3,FALSE)),"")</formula1>
    </dataValidation>
    <dataValidation type="list" sqref="N747" xr:uid="{841D25C9-9308-47ED-A71A-01D0EDA923B8}">
      <formula1>=IF(M747&lt;&gt;"",INDIRECT(VLOOKUP(M747,NgachLuongData,4,FALSE)),"")</formula1>
    </dataValidation>
    <dataValidation type="list" sqref="M748" xr:uid="{50CF3EDE-CC0D-4182-A433-68D8749DD2CE}">
      <formula1>=IF(L748&lt;&gt;"",INDIRECT(VLOOKUP(L748,ThangLuongData,3,FALSE)),"")</formula1>
    </dataValidation>
    <dataValidation type="list" sqref="N748" xr:uid="{0EA543FC-C815-427F-AC4C-9D11508EC7D0}">
      <formula1>=IF(M748&lt;&gt;"",INDIRECT(VLOOKUP(M748,NgachLuongData,4,FALSE)),"")</formula1>
    </dataValidation>
    <dataValidation type="list" sqref="M749" xr:uid="{F821E6E6-10C0-42EB-8E9C-F3DEC5EC4331}">
      <formula1>=IF(L749&lt;&gt;"",INDIRECT(VLOOKUP(L749,ThangLuongData,3,FALSE)),"")</formula1>
    </dataValidation>
    <dataValidation type="list" sqref="N749" xr:uid="{A3041C88-B509-4CAD-AF7B-97BC4EB387A3}">
      <formula1>=IF(M749&lt;&gt;"",INDIRECT(VLOOKUP(M749,NgachLuongData,4,FALSE)),"")</formula1>
    </dataValidation>
    <dataValidation type="list" sqref="M750" xr:uid="{86C062D7-EB45-4846-A877-3E76FEFB5DD4}">
      <formula1>=IF(L750&lt;&gt;"",INDIRECT(VLOOKUP(L750,ThangLuongData,3,FALSE)),"")</formula1>
    </dataValidation>
    <dataValidation type="list" sqref="N750" xr:uid="{8B5B5F07-F93F-4C57-B8DC-BDFDA6EA129F}">
      <formula1>=IF(M750&lt;&gt;"",INDIRECT(VLOOKUP(M750,NgachLuongData,4,FALSE)),"")</formula1>
    </dataValidation>
    <dataValidation type="list" sqref="M751" xr:uid="{BE4886E4-D6F8-41A7-BB97-4FF366ECA543}">
      <formula1>=IF(L751&lt;&gt;"",INDIRECT(VLOOKUP(L751,ThangLuongData,3,FALSE)),"")</formula1>
    </dataValidation>
    <dataValidation type="list" sqref="N751" xr:uid="{8158EA78-3E05-48D7-B4FE-CE3F756D72BA}">
      <formula1>=IF(M751&lt;&gt;"",INDIRECT(VLOOKUP(M751,NgachLuongData,4,FALSE)),"")</formula1>
    </dataValidation>
    <dataValidation type="list" sqref="M752" xr:uid="{56C40498-D010-4E96-8906-3FA358D04784}">
      <formula1>=IF(L752&lt;&gt;"",INDIRECT(VLOOKUP(L752,ThangLuongData,3,FALSE)),"")</formula1>
    </dataValidation>
    <dataValidation type="list" sqref="N752" xr:uid="{76B3D9D3-AB40-4D3A-A219-0ACFAF16A5E8}">
      <formula1>=IF(M752&lt;&gt;"",INDIRECT(VLOOKUP(M752,NgachLuongData,4,FALSE)),"")</formula1>
    </dataValidation>
    <dataValidation type="list" sqref="M753" xr:uid="{48E71267-815B-40E3-AEF7-CD5B52771D13}">
      <formula1>=IF(L753&lt;&gt;"",INDIRECT(VLOOKUP(L753,ThangLuongData,3,FALSE)),"")</formula1>
    </dataValidation>
    <dataValidation type="list" sqref="N753" xr:uid="{A0DC9FC3-5866-4BA1-AE5A-802CF7F2B2FB}">
      <formula1>=IF(M753&lt;&gt;"",INDIRECT(VLOOKUP(M753,NgachLuongData,4,FALSE)),"")</formula1>
    </dataValidation>
    <dataValidation type="list" sqref="M754" xr:uid="{0E3249F1-E7D5-4640-805C-5F3F6688783C}">
      <formula1>=IF(L754&lt;&gt;"",INDIRECT(VLOOKUP(L754,ThangLuongData,3,FALSE)),"")</formula1>
    </dataValidation>
    <dataValidation type="list" sqref="N754" xr:uid="{56A5BE01-B70D-4E41-871F-4AD49DD61C57}">
      <formula1>=IF(M754&lt;&gt;"",INDIRECT(VLOOKUP(M754,NgachLuongData,4,FALSE)),"")</formula1>
    </dataValidation>
    <dataValidation type="list" sqref="M755" xr:uid="{27DF8D7B-B651-41AC-A209-7EE9EC99673C}">
      <formula1>=IF(L755&lt;&gt;"",INDIRECT(VLOOKUP(L755,ThangLuongData,3,FALSE)),"")</formula1>
    </dataValidation>
    <dataValidation type="list" sqref="N755" xr:uid="{1A3A2475-C904-4921-AE04-3E69E7A42EBA}">
      <formula1>=IF(M755&lt;&gt;"",INDIRECT(VLOOKUP(M755,NgachLuongData,4,FALSE)),"")</formula1>
    </dataValidation>
    <dataValidation type="list" sqref="M756" xr:uid="{8E540F49-101A-4C90-9625-7AB8D31A673D}">
      <formula1>=IF(L756&lt;&gt;"",INDIRECT(VLOOKUP(L756,ThangLuongData,3,FALSE)),"")</formula1>
    </dataValidation>
    <dataValidation type="list" sqref="N756" xr:uid="{02425F05-B93A-4181-B8B9-272BB554E947}">
      <formula1>=IF(M756&lt;&gt;"",INDIRECT(VLOOKUP(M756,NgachLuongData,4,FALSE)),"")</formula1>
    </dataValidation>
    <dataValidation type="list" sqref="M757" xr:uid="{279FE51C-EB26-47BD-A520-D610543840BC}">
      <formula1>=IF(L757&lt;&gt;"",INDIRECT(VLOOKUP(L757,ThangLuongData,3,FALSE)),"")</formula1>
    </dataValidation>
    <dataValidation type="list" sqref="N757" xr:uid="{0DE5B574-A383-4CC3-8F28-8D796D258C07}">
      <formula1>=IF(M757&lt;&gt;"",INDIRECT(VLOOKUP(M757,NgachLuongData,4,FALSE)),"")</formula1>
    </dataValidation>
    <dataValidation type="list" sqref="M758" xr:uid="{E98380E2-3F0E-4D04-AC45-CE8AD7E9701B}">
      <formula1>=IF(L758&lt;&gt;"",INDIRECT(VLOOKUP(L758,ThangLuongData,3,FALSE)),"")</formula1>
    </dataValidation>
    <dataValidation type="list" sqref="N758" xr:uid="{59CCB6F3-1605-4193-96E9-79039E229A1F}">
      <formula1>=IF(M758&lt;&gt;"",INDIRECT(VLOOKUP(M758,NgachLuongData,4,FALSE)),"")</formula1>
    </dataValidation>
    <dataValidation type="list" sqref="M759" xr:uid="{1A33F95E-BB5C-4340-A9FB-1D36555D9C7A}">
      <formula1>=IF(L759&lt;&gt;"",INDIRECT(VLOOKUP(L759,ThangLuongData,3,FALSE)),"")</formula1>
    </dataValidation>
    <dataValidation type="list" sqref="N759" xr:uid="{830A81E6-E4F9-41A3-BDCE-0708C27629D6}">
      <formula1>=IF(M759&lt;&gt;"",INDIRECT(VLOOKUP(M759,NgachLuongData,4,FALSE)),"")</formula1>
    </dataValidation>
    <dataValidation type="list" sqref="M760" xr:uid="{06970C54-5136-41DA-80B6-F9F77975F537}">
      <formula1>=IF(L760&lt;&gt;"",INDIRECT(VLOOKUP(L760,ThangLuongData,3,FALSE)),"")</formula1>
    </dataValidation>
    <dataValidation type="list" sqref="N760" xr:uid="{69EB4A30-39DB-4D5D-8A8D-926717E08FEF}">
      <formula1>=IF(M760&lt;&gt;"",INDIRECT(VLOOKUP(M760,NgachLuongData,4,FALSE)),"")</formula1>
    </dataValidation>
    <dataValidation type="list" sqref="M761" xr:uid="{920B5707-5C68-45B0-A64B-83E234FB7EEF}">
      <formula1>=IF(L761&lt;&gt;"",INDIRECT(VLOOKUP(L761,ThangLuongData,3,FALSE)),"")</formula1>
    </dataValidation>
    <dataValidation type="list" sqref="N761" xr:uid="{CC3BF546-2D82-4396-8205-F5973AAAD413}">
      <formula1>=IF(M761&lt;&gt;"",INDIRECT(VLOOKUP(M761,NgachLuongData,4,FALSE)),"")</formula1>
    </dataValidation>
    <dataValidation type="list" sqref="M762" xr:uid="{283C0F66-B7F7-43FA-8881-0206C6C62CF2}">
      <formula1>=IF(L762&lt;&gt;"",INDIRECT(VLOOKUP(L762,ThangLuongData,3,FALSE)),"")</formula1>
    </dataValidation>
    <dataValidation type="list" sqref="N762" xr:uid="{5B420F27-5825-4959-839E-D295BBF6BE2F}">
      <formula1>=IF(M762&lt;&gt;"",INDIRECT(VLOOKUP(M762,NgachLuongData,4,FALSE)),"")</formula1>
    </dataValidation>
    <dataValidation type="list" sqref="M763" xr:uid="{94AD88A7-21F0-4366-8AF6-80C3AAF14D16}">
      <formula1>=IF(L763&lt;&gt;"",INDIRECT(VLOOKUP(L763,ThangLuongData,3,FALSE)),"")</formula1>
    </dataValidation>
    <dataValidation type="list" sqref="N763" xr:uid="{2E67EA68-D064-4F56-B8BE-AFE434EA2C8E}">
      <formula1>=IF(M763&lt;&gt;"",INDIRECT(VLOOKUP(M763,NgachLuongData,4,FALSE)),"")</formula1>
    </dataValidation>
    <dataValidation type="list" sqref="M764" xr:uid="{CE2D81B3-D89E-4B9B-A444-81E9963001BC}">
      <formula1>=IF(L764&lt;&gt;"",INDIRECT(VLOOKUP(L764,ThangLuongData,3,FALSE)),"")</formula1>
    </dataValidation>
    <dataValidation type="list" sqref="N764" xr:uid="{C19181FD-D06F-4004-AA52-1366BF857DBA}">
      <formula1>=IF(M764&lt;&gt;"",INDIRECT(VLOOKUP(M764,NgachLuongData,4,FALSE)),"")</formula1>
    </dataValidation>
    <dataValidation type="list" sqref="M765" xr:uid="{525F682E-0709-4781-8E26-BA3B56F52661}">
      <formula1>=IF(L765&lt;&gt;"",INDIRECT(VLOOKUP(L765,ThangLuongData,3,FALSE)),"")</formula1>
    </dataValidation>
    <dataValidation type="list" sqref="N765" xr:uid="{B05A6B0C-04F2-4AAD-BB84-0E4642A61477}">
      <formula1>=IF(M765&lt;&gt;"",INDIRECT(VLOOKUP(M765,NgachLuongData,4,FALSE)),"")</formula1>
    </dataValidation>
    <dataValidation type="list" sqref="M766" xr:uid="{7D5CB745-4271-4273-A00E-DCAD16E79A82}">
      <formula1>=IF(L766&lt;&gt;"",INDIRECT(VLOOKUP(L766,ThangLuongData,3,FALSE)),"")</formula1>
    </dataValidation>
    <dataValidation type="list" sqref="N766" xr:uid="{6A174291-52B7-47D3-B7BD-589CAA08DEAF}">
      <formula1>=IF(M766&lt;&gt;"",INDIRECT(VLOOKUP(M766,NgachLuongData,4,FALSE)),"")</formula1>
    </dataValidation>
    <dataValidation type="list" sqref="M767" xr:uid="{D4B75A41-4424-4984-89AD-890FB72BE0AC}">
      <formula1>=IF(L767&lt;&gt;"",INDIRECT(VLOOKUP(L767,ThangLuongData,3,FALSE)),"")</formula1>
    </dataValidation>
    <dataValidation type="list" sqref="N767" xr:uid="{FE0BB618-A432-4254-8C5F-39AC71BD3089}">
      <formula1>=IF(M767&lt;&gt;"",INDIRECT(VLOOKUP(M767,NgachLuongData,4,FALSE)),"")</formula1>
    </dataValidation>
    <dataValidation type="list" sqref="M768" xr:uid="{EFE791FA-0240-4EF5-BF22-C1344D63C6BF}">
      <formula1>=IF(L768&lt;&gt;"",INDIRECT(VLOOKUP(L768,ThangLuongData,3,FALSE)),"")</formula1>
    </dataValidation>
    <dataValidation type="list" sqref="N768" xr:uid="{34229A8B-0FA5-4996-A95E-1ACE8ED045AE}">
      <formula1>=IF(M768&lt;&gt;"",INDIRECT(VLOOKUP(M768,NgachLuongData,4,FALSE)),"")</formula1>
    </dataValidation>
    <dataValidation type="list" sqref="M769" xr:uid="{202B343B-6A56-43B1-8A96-4B1177CAE23C}">
      <formula1>=IF(L769&lt;&gt;"",INDIRECT(VLOOKUP(L769,ThangLuongData,3,FALSE)),"")</formula1>
    </dataValidation>
    <dataValidation type="list" sqref="N769" xr:uid="{2CA6830D-5AF1-434C-88BB-B0A60F66777E}">
      <formula1>=IF(M769&lt;&gt;"",INDIRECT(VLOOKUP(M769,NgachLuongData,4,FALSE)),"")</formula1>
    </dataValidation>
    <dataValidation type="list" sqref="M770" xr:uid="{C2E379B4-ED7E-4D23-8006-CCB029B8C437}">
      <formula1>=IF(L770&lt;&gt;"",INDIRECT(VLOOKUP(L770,ThangLuongData,3,FALSE)),"")</formula1>
    </dataValidation>
    <dataValidation type="list" sqref="N770" xr:uid="{F7198C75-728C-4E30-B6CF-3C95A337DFB6}">
      <formula1>=IF(M770&lt;&gt;"",INDIRECT(VLOOKUP(M770,NgachLuongData,4,FALSE)),"")</formula1>
    </dataValidation>
    <dataValidation type="list" sqref="M771" xr:uid="{0D151431-8015-4125-903A-7032FF8234CB}">
      <formula1>=IF(L771&lt;&gt;"",INDIRECT(VLOOKUP(L771,ThangLuongData,3,FALSE)),"")</formula1>
    </dataValidation>
    <dataValidation type="list" sqref="N771" xr:uid="{E54C18FB-1844-4549-B135-B2856166D73B}">
      <formula1>=IF(M771&lt;&gt;"",INDIRECT(VLOOKUP(M771,NgachLuongData,4,FALSE)),"")</formula1>
    </dataValidation>
    <dataValidation type="list" sqref="M772" xr:uid="{021F4394-52CE-4160-BD4A-07A674B3E4D1}">
      <formula1>=IF(L772&lt;&gt;"",INDIRECT(VLOOKUP(L772,ThangLuongData,3,FALSE)),"")</formula1>
    </dataValidation>
    <dataValidation type="list" sqref="N772" xr:uid="{C9DC207F-D18A-49BB-9DC6-A88DEA20EE97}">
      <formula1>=IF(M772&lt;&gt;"",INDIRECT(VLOOKUP(M772,NgachLuongData,4,FALSE)),"")</formula1>
    </dataValidation>
    <dataValidation type="list" sqref="M773" xr:uid="{AAB6BF99-2DF6-40F1-9690-9A6B65D21968}">
      <formula1>=IF(L773&lt;&gt;"",INDIRECT(VLOOKUP(L773,ThangLuongData,3,FALSE)),"")</formula1>
    </dataValidation>
    <dataValidation type="list" sqref="N773" xr:uid="{276E0768-F8D9-4255-BFCB-FF774C275934}">
      <formula1>=IF(M773&lt;&gt;"",INDIRECT(VLOOKUP(M773,NgachLuongData,4,FALSE)),"")</formula1>
    </dataValidation>
    <dataValidation type="list" sqref="M774" xr:uid="{4D570315-67E9-45E6-B181-615AE33DD711}">
      <formula1>=IF(L774&lt;&gt;"",INDIRECT(VLOOKUP(L774,ThangLuongData,3,FALSE)),"")</formula1>
    </dataValidation>
    <dataValidation type="list" sqref="N774" xr:uid="{E101DDC7-AC5C-4C2A-BC2D-FB17D2D785BC}">
      <formula1>=IF(M774&lt;&gt;"",INDIRECT(VLOOKUP(M774,NgachLuongData,4,FALSE)),"")</formula1>
    </dataValidation>
    <dataValidation type="list" sqref="M775" xr:uid="{36653127-0018-45C6-A32B-D2C708FF2994}">
      <formula1>=IF(L775&lt;&gt;"",INDIRECT(VLOOKUP(L775,ThangLuongData,3,FALSE)),"")</formula1>
    </dataValidation>
    <dataValidation type="list" sqref="N775" xr:uid="{6BCB7AC8-4C55-4AA9-9636-582EF9CA35CF}">
      <formula1>=IF(M775&lt;&gt;"",INDIRECT(VLOOKUP(M775,NgachLuongData,4,FALSE)),"")</formula1>
    </dataValidation>
    <dataValidation type="list" sqref="M776" xr:uid="{9D47E3D2-EF43-4D7F-B97F-01035ADC04BA}">
      <formula1>=IF(L776&lt;&gt;"",INDIRECT(VLOOKUP(L776,ThangLuongData,3,FALSE)),"")</formula1>
    </dataValidation>
    <dataValidation type="list" sqref="N776" xr:uid="{024DE376-F168-4AE4-9796-1F561DF46F26}">
      <formula1>=IF(M776&lt;&gt;"",INDIRECT(VLOOKUP(M776,NgachLuongData,4,FALSE)),"")</formula1>
    </dataValidation>
    <dataValidation type="list" sqref="M777" xr:uid="{8F03F318-E362-4D2E-9A3A-FE740E20D442}">
      <formula1>=IF(L777&lt;&gt;"",INDIRECT(VLOOKUP(L777,ThangLuongData,3,FALSE)),"")</formula1>
    </dataValidation>
    <dataValidation type="list" sqref="N777" xr:uid="{80709AB6-A46A-478A-8A23-33A9E9E30B9F}">
      <formula1>=IF(M777&lt;&gt;"",INDIRECT(VLOOKUP(M777,NgachLuongData,4,FALSE)),"")</formula1>
    </dataValidation>
    <dataValidation type="list" sqref="M778" xr:uid="{AD8BEDB7-79D6-4C68-9C31-F99AD95A20E0}">
      <formula1>=IF(L778&lt;&gt;"",INDIRECT(VLOOKUP(L778,ThangLuongData,3,FALSE)),"")</formula1>
    </dataValidation>
    <dataValidation type="list" sqref="N778" xr:uid="{DC647042-287E-4C64-B79D-481DE4EC0808}">
      <formula1>=IF(M778&lt;&gt;"",INDIRECT(VLOOKUP(M778,NgachLuongData,4,FALSE)),"")</formula1>
    </dataValidation>
    <dataValidation type="list" sqref="M779" xr:uid="{95C7FC42-0FE6-4209-849C-15BDB4DFD1AA}">
      <formula1>=IF(L779&lt;&gt;"",INDIRECT(VLOOKUP(L779,ThangLuongData,3,FALSE)),"")</formula1>
    </dataValidation>
    <dataValidation type="list" sqref="N779" xr:uid="{8D3CCE54-2590-4E89-A2D1-2B1285C629DD}">
      <formula1>=IF(M779&lt;&gt;"",INDIRECT(VLOOKUP(M779,NgachLuongData,4,FALSE)),"")</formula1>
    </dataValidation>
    <dataValidation type="list" sqref="M780" xr:uid="{041737F6-E9A7-4314-8260-66A7BDDE1C1E}">
      <formula1>=IF(L780&lt;&gt;"",INDIRECT(VLOOKUP(L780,ThangLuongData,3,FALSE)),"")</formula1>
    </dataValidation>
    <dataValidation type="list" sqref="N780" xr:uid="{8E6CC6E0-8C96-40A1-B443-E89FAB0F8D10}">
      <formula1>=IF(M780&lt;&gt;"",INDIRECT(VLOOKUP(M780,NgachLuongData,4,FALSE)),"")</formula1>
    </dataValidation>
    <dataValidation type="list" sqref="M781" xr:uid="{E4BB07DA-50D6-444D-81E5-4B08ACEE0717}">
      <formula1>=IF(L781&lt;&gt;"",INDIRECT(VLOOKUP(L781,ThangLuongData,3,FALSE)),"")</formula1>
    </dataValidation>
    <dataValidation type="list" sqref="N781" xr:uid="{7E27C8FB-2686-48EF-848F-3240DD58E55C}">
      <formula1>=IF(M781&lt;&gt;"",INDIRECT(VLOOKUP(M781,NgachLuongData,4,FALSE)),"")</formula1>
    </dataValidation>
    <dataValidation type="list" sqref="M782" xr:uid="{118A4DF8-24AA-4505-8B64-CBD138192A28}">
      <formula1>=IF(L782&lt;&gt;"",INDIRECT(VLOOKUP(L782,ThangLuongData,3,FALSE)),"")</formula1>
    </dataValidation>
    <dataValidation type="list" sqref="N782" xr:uid="{2FC62194-35D3-41CF-9F1B-1F5A65D0B6DA}">
      <formula1>=IF(M782&lt;&gt;"",INDIRECT(VLOOKUP(M782,NgachLuongData,4,FALSE)),"")</formula1>
    </dataValidation>
    <dataValidation type="list" sqref="M783" xr:uid="{879E430E-11A0-40D3-8D24-353640E39D6F}">
      <formula1>=IF(L783&lt;&gt;"",INDIRECT(VLOOKUP(L783,ThangLuongData,3,FALSE)),"")</formula1>
    </dataValidation>
    <dataValidation type="list" sqref="N783" xr:uid="{AA3EA758-9F35-4384-B40F-F1F5B88C0C81}">
      <formula1>=IF(M783&lt;&gt;"",INDIRECT(VLOOKUP(M783,NgachLuongData,4,FALSE)),"")</formula1>
    </dataValidation>
    <dataValidation type="list" sqref="M784" xr:uid="{166FF0A2-2ABF-4E91-BAA1-94377AED09F9}">
      <formula1>=IF(L784&lt;&gt;"",INDIRECT(VLOOKUP(L784,ThangLuongData,3,FALSE)),"")</formula1>
    </dataValidation>
    <dataValidation type="list" sqref="N784" xr:uid="{93E31975-FC9B-4CA4-BF36-771FABB5CAB6}">
      <formula1>=IF(M784&lt;&gt;"",INDIRECT(VLOOKUP(M784,NgachLuongData,4,FALSE)),"")</formula1>
    </dataValidation>
    <dataValidation type="list" sqref="M785" xr:uid="{84F7553E-CF38-428C-9985-05FE1672BDA0}">
      <formula1>=IF(L785&lt;&gt;"",INDIRECT(VLOOKUP(L785,ThangLuongData,3,FALSE)),"")</formula1>
    </dataValidation>
    <dataValidation type="list" sqref="N785" xr:uid="{95FE13F5-BB72-4086-BF71-833FDAA072C0}">
      <formula1>=IF(M785&lt;&gt;"",INDIRECT(VLOOKUP(M785,NgachLuongData,4,FALSE)),"")</formula1>
    </dataValidation>
    <dataValidation type="list" sqref="M786" xr:uid="{71B0CCE3-D1E6-447F-B877-8FB8D3B8CF58}">
      <formula1>=IF(L786&lt;&gt;"",INDIRECT(VLOOKUP(L786,ThangLuongData,3,FALSE)),"")</formula1>
    </dataValidation>
    <dataValidation type="list" sqref="N786" xr:uid="{93BDC203-5117-4141-8E4B-02F43E796FA9}">
      <formula1>=IF(M786&lt;&gt;"",INDIRECT(VLOOKUP(M786,NgachLuongData,4,FALSE)),"")</formula1>
    </dataValidation>
    <dataValidation type="list" sqref="M787" xr:uid="{753C6326-233F-4653-914E-E5748796FBD1}">
      <formula1>=IF(L787&lt;&gt;"",INDIRECT(VLOOKUP(L787,ThangLuongData,3,FALSE)),"")</formula1>
    </dataValidation>
    <dataValidation type="list" sqref="N787" xr:uid="{3840024B-7BD1-44C7-9C4E-1AED5C79F2AE}">
      <formula1>=IF(M787&lt;&gt;"",INDIRECT(VLOOKUP(M787,NgachLuongData,4,FALSE)),"")</formula1>
    </dataValidation>
    <dataValidation type="list" sqref="M788" xr:uid="{39BFA85A-C4A8-4143-82C7-62CAD66A6655}">
      <formula1>=IF(L788&lt;&gt;"",INDIRECT(VLOOKUP(L788,ThangLuongData,3,FALSE)),"")</formula1>
    </dataValidation>
    <dataValidation type="list" sqref="N788" xr:uid="{3CEB111D-7F5C-44B1-90DE-0FFE7FBDFE5E}">
      <formula1>=IF(M788&lt;&gt;"",INDIRECT(VLOOKUP(M788,NgachLuongData,4,FALSE)),"")</formula1>
    </dataValidation>
    <dataValidation type="list" sqref="M789" xr:uid="{940E8BDE-D7E4-4EA1-A106-2B1E024E529C}">
      <formula1>=IF(L789&lt;&gt;"",INDIRECT(VLOOKUP(L789,ThangLuongData,3,FALSE)),"")</formula1>
    </dataValidation>
    <dataValidation type="list" sqref="N789" xr:uid="{15D774CB-3875-4409-8FE6-C527D41CECCE}">
      <formula1>=IF(M789&lt;&gt;"",INDIRECT(VLOOKUP(M789,NgachLuongData,4,FALSE)),"")</formula1>
    </dataValidation>
    <dataValidation type="list" sqref="M790" xr:uid="{BDF00253-1C3E-40A7-BC94-FA447D4A5BBD}">
      <formula1>=IF(L790&lt;&gt;"",INDIRECT(VLOOKUP(L790,ThangLuongData,3,FALSE)),"")</formula1>
    </dataValidation>
    <dataValidation type="list" sqref="N790" xr:uid="{A2E37387-7032-4493-9223-552A040184ED}">
      <formula1>=IF(M790&lt;&gt;"",INDIRECT(VLOOKUP(M790,NgachLuongData,4,FALSE)),"")</formula1>
    </dataValidation>
    <dataValidation type="list" sqref="M791" xr:uid="{7A6D9507-2083-41DE-8AC9-ACEE58890BE7}">
      <formula1>=IF(L791&lt;&gt;"",INDIRECT(VLOOKUP(L791,ThangLuongData,3,FALSE)),"")</formula1>
    </dataValidation>
    <dataValidation type="list" sqref="N791" xr:uid="{2EB06674-FAE7-4FDA-A658-1865D63B396B}">
      <formula1>=IF(M791&lt;&gt;"",INDIRECT(VLOOKUP(M791,NgachLuongData,4,FALSE)),"")</formula1>
    </dataValidation>
    <dataValidation type="list" sqref="M792" xr:uid="{F813F498-BF1A-47FF-A7C6-90360C2B4326}">
      <formula1>=IF(L792&lt;&gt;"",INDIRECT(VLOOKUP(L792,ThangLuongData,3,FALSE)),"")</formula1>
    </dataValidation>
    <dataValidation type="list" sqref="N792" xr:uid="{C6219A4F-D030-4CD4-B4D3-D6893FB0A26A}">
      <formula1>=IF(M792&lt;&gt;"",INDIRECT(VLOOKUP(M792,NgachLuongData,4,FALSE)),"")</formula1>
    </dataValidation>
    <dataValidation type="list" sqref="M793" xr:uid="{313CE4FD-C2FA-471E-9CDC-4D9ABEDF21D0}">
      <formula1>=IF(L793&lt;&gt;"",INDIRECT(VLOOKUP(L793,ThangLuongData,3,FALSE)),"")</formula1>
    </dataValidation>
    <dataValidation type="list" sqref="N793" xr:uid="{6FDD720A-D80C-4B70-8F25-8A5142542652}">
      <formula1>=IF(M793&lt;&gt;"",INDIRECT(VLOOKUP(M793,NgachLuongData,4,FALSE)),"")</formula1>
    </dataValidation>
    <dataValidation type="list" sqref="M794" xr:uid="{8DBA4904-625A-433A-93F9-597B1845B444}">
      <formula1>=IF(L794&lt;&gt;"",INDIRECT(VLOOKUP(L794,ThangLuongData,3,FALSE)),"")</formula1>
    </dataValidation>
    <dataValidation type="list" sqref="N794" xr:uid="{3B8F00C0-A42E-4041-B347-D657064932AA}">
      <formula1>=IF(M794&lt;&gt;"",INDIRECT(VLOOKUP(M794,NgachLuongData,4,FALSE)),"")</formula1>
    </dataValidation>
    <dataValidation type="list" sqref="M795" xr:uid="{3227C2DB-856E-4BEA-A5A6-2775C6C1F310}">
      <formula1>=IF(L795&lt;&gt;"",INDIRECT(VLOOKUP(L795,ThangLuongData,3,FALSE)),"")</formula1>
    </dataValidation>
    <dataValidation type="list" sqref="N795" xr:uid="{0FE953B6-33BA-408B-8922-9A4283BB33ED}">
      <formula1>=IF(M795&lt;&gt;"",INDIRECT(VLOOKUP(M795,NgachLuongData,4,FALSE)),"")</formula1>
    </dataValidation>
    <dataValidation type="list" sqref="M796" xr:uid="{3704522A-9530-430E-9DD6-B6DEE80540E0}">
      <formula1>=IF(L796&lt;&gt;"",INDIRECT(VLOOKUP(L796,ThangLuongData,3,FALSE)),"")</formula1>
    </dataValidation>
    <dataValidation type="list" sqref="N796" xr:uid="{BED9FFB9-863F-454A-80FE-2787B967B105}">
      <formula1>=IF(M796&lt;&gt;"",INDIRECT(VLOOKUP(M796,NgachLuongData,4,FALSE)),"")</formula1>
    </dataValidation>
    <dataValidation type="list" sqref="M797" xr:uid="{910F3A1C-AC32-444B-8E98-11F56C0747E8}">
      <formula1>=IF(L797&lt;&gt;"",INDIRECT(VLOOKUP(L797,ThangLuongData,3,FALSE)),"")</formula1>
    </dataValidation>
    <dataValidation type="list" sqref="N797" xr:uid="{48387833-1F6A-4F7F-B2FD-D875072D8A16}">
      <formula1>=IF(M797&lt;&gt;"",INDIRECT(VLOOKUP(M797,NgachLuongData,4,FALSE)),"")</formula1>
    </dataValidation>
    <dataValidation type="list" sqref="M798" xr:uid="{97BAC581-DC16-4BB7-8C41-4B32A7969C16}">
      <formula1>=IF(L798&lt;&gt;"",INDIRECT(VLOOKUP(L798,ThangLuongData,3,FALSE)),"")</formula1>
    </dataValidation>
    <dataValidation type="list" sqref="N798" xr:uid="{C7E88B7E-4D3E-43A6-AE6C-E01243929B72}">
      <formula1>=IF(M798&lt;&gt;"",INDIRECT(VLOOKUP(M798,NgachLuongData,4,FALSE)),"")</formula1>
    </dataValidation>
    <dataValidation type="list" sqref="M799" xr:uid="{DBCB5F3D-F9F0-468E-8E47-30227874E333}">
      <formula1>=IF(L799&lt;&gt;"",INDIRECT(VLOOKUP(L799,ThangLuongData,3,FALSE)),"")</formula1>
    </dataValidation>
    <dataValidation type="list" sqref="N799" xr:uid="{65A9846D-30AB-4404-9693-72EF5B90FA0D}">
      <formula1>=IF(M799&lt;&gt;"",INDIRECT(VLOOKUP(M799,NgachLuongData,4,FALSE)),"")</formula1>
    </dataValidation>
    <dataValidation type="list" sqref="M800" xr:uid="{BAC672B5-F95C-4F23-B4D6-44AFC430CD53}">
      <formula1>=IF(L800&lt;&gt;"",INDIRECT(VLOOKUP(L800,ThangLuongData,3,FALSE)),"")</formula1>
    </dataValidation>
    <dataValidation type="list" sqref="N800" xr:uid="{4D3EFAEC-8DCA-4F61-A78F-AB3BD3868200}">
      <formula1>=IF(M800&lt;&gt;"",INDIRECT(VLOOKUP(M800,NgachLuongData,4,FALSE)),"")</formula1>
    </dataValidation>
    <dataValidation type="list" sqref="M801" xr:uid="{EAE17333-58DB-4B6D-BA48-B6207B001739}">
      <formula1>=IF(L801&lt;&gt;"",INDIRECT(VLOOKUP(L801,ThangLuongData,3,FALSE)),"")</formula1>
    </dataValidation>
    <dataValidation type="list" sqref="N801" xr:uid="{FE0F6D8D-CDEB-492A-8341-5F425443E5B8}">
      <formula1>=IF(M801&lt;&gt;"",INDIRECT(VLOOKUP(M801,NgachLuongData,4,FALSE)),"")</formula1>
    </dataValidation>
    <dataValidation type="list" sqref="M802" xr:uid="{01AC9DDA-3E2A-4E84-A3EF-66763FB7544A}">
      <formula1>=IF(L802&lt;&gt;"",INDIRECT(VLOOKUP(L802,ThangLuongData,3,FALSE)),"")</formula1>
    </dataValidation>
    <dataValidation type="list" sqref="N802" xr:uid="{E84F3548-E6BB-4776-8C7F-E2690AF96EC1}">
      <formula1>=IF(M802&lt;&gt;"",INDIRECT(VLOOKUP(M802,NgachLuongData,4,FALSE)),"")</formula1>
    </dataValidation>
    <dataValidation type="list" sqref="M803" xr:uid="{735D848D-7572-4762-A7CF-B4C64B1D0358}">
      <formula1>=IF(L803&lt;&gt;"",INDIRECT(VLOOKUP(L803,ThangLuongData,3,FALSE)),"")</formula1>
    </dataValidation>
    <dataValidation type="list" sqref="N803" xr:uid="{1EA7ADD8-459A-44F6-B131-21F701D19F29}">
      <formula1>=IF(M803&lt;&gt;"",INDIRECT(VLOOKUP(M803,NgachLuongData,4,FALSE)),"")</formula1>
    </dataValidation>
    <dataValidation type="list" sqref="M804" xr:uid="{2DADB09E-5648-4532-BE64-139A84802677}">
      <formula1>=IF(L804&lt;&gt;"",INDIRECT(VLOOKUP(L804,ThangLuongData,3,FALSE)),"")</formula1>
    </dataValidation>
    <dataValidation type="list" sqref="N804" xr:uid="{7250E56A-4339-4FB7-8F3B-CD535EAE7875}">
      <formula1>=IF(M804&lt;&gt;"",INDIRECT(VLOOKUP(M804,NgachLuongData,4,FALSE)),"")</formula1>
    </dataValidation>
    <dataValidation type="list" sqref="M805" xr:uid="{8AF9EA95-3B4C-49FB-BE3B-58431EDDE300}">
      <formula1>=IF(L805&lt;&gt;"",INDIRECT(VLOOKUP(L805,ThangLuongData,3,FALSE)),"")</formula1>
    </dataValidation>
    <dataValidation type="list" sqref="N805" xr:uid="{5FE88E3E-C952-40C7-81C8-67550C7DEE2A}">
      <formula1>=IF(M805&lt;&gt;"",INDIRECT(VLOOKUP(M805,NgachLuongData,4,FALSE)),"")</formula1>
    </dataValidation>
    <dataValidation type="list" sqref="M806" xr:uid="{93F77E87-021C-423E-80D5-0593DB11B327}">
      <formula1>=IF(L806&lt;&gt;"",INDIRECT(VLOOKUP(L806,ThangLuongData,3,FALSE)),"")</formula1>
    </dataValidation>
    <dataValidation type="list" sqref="N806" xr:uid="{8DFD516E-792D-4A9F-9E2B-50769FCA8FE3}">
      <formula1>=IF(M806&lt;&gt;"",INDIRECT(VLOOKUP(M806,NgachLuongData,4,FALSE)),"")</formula1>
    </dataValidation>
    <dataValidation type="list" sqref="M807" xr:uid="{8662D608-96DE-4B36-BB82-D69194F490E7}">
      <formula1>=IF(L807&lt;&gt;"",INDIRECT(VLOOKUP(L807,ThangLuongData,3,FALSE)),"")</formula1>
    </dataValidation>
    <dataValidation type="list" sqref="N807" xr:uid="{ED822FE1-3490-410B-B27A-C4FDF0A07E96}">
      <formula1>=IF(M807&lt;&gt;"",INDIRECT(VLOOKUP(M807,NgachLuongData,4,FALSE)),"")</formula1>
    </dataValidation>
    <dataValidation type="list" sqref="M808" xr:uid="{238797E9-0AA4-4891-956F-584C22CD0CCA}">
      <formula1>=IF(L808&lt;&gt;"",INDIRECT(VLOOKUP(L808,ThangLuongData,3,FALSE)),"")</formula1>
    </dataValidation>
    <dataValidation type="list" sqref="N808" xr:uid="{F970033E-733D-4D2F-89E8-42BDF7F62B29}">
      <formula1>=IF(M808&lt;&gt;"",INDIRECT(VLOOKUP(M808,NgachLuongData,4,FALSE)),"")</formula1>
    </dataValidation>
    <dataValidation type="list" sqref="M809" xr:uid="{0261B8B2-C379-4CEB-A2F6-80DFE04938D1}">
      <formula1>=IF(L809&lt;&gt;"",INDIRECT(VLOOKUP(L809,ThangLuongData,3,FALSE)),"")</formula1>
    </dataValidation>
    <dataValidation type="list" sqref="N809" xr:uid="{167AB5B4-CE3A-4E5B-B694-4FBC576FA242}">
      <formula1>=IF(M809&lt;&gt;"",INDIRECT(VLOOKUP(M809,NgachLuongData,4,FALSE)),"")</formula1>
    </dataValidation>
    <dataValidation type="list" sqref="M810" xr:uid="{70F8FEF9-F034-4A21-B762-123248525F00}">
      <formula1>=IF(L810&lt;&gt;"",INDIRECT(VLOOKUP(L810,ThangLuongData,3,FALSE)),"")</formula1>
    </dataValidation>
    <dataValidation type="list" sqref="N810" xr:uid="{A28FD4CA-A678-4523-A80C-CF7523A44860}">
      <formula1>=IF(M810&lt;&gt;"",INDIRECT(VLOOKUP(M810,NgachLuongData,4,FALSE)),"")</formula1>
    </dataValidation>
    <dataValidation type="list" sqref="M811" xr:uid="{74363EC7-F333-46F9-920E-393CE875AD07}">
      <formula1>=IF(L811&lt;&gt;"",INDIRECT(VLOOKUP(L811,ThangLuongData,3,FALSE)),"")</formula1>
    </dataValidation>
    <dataValidation type="list" sqref="N811" xr:uid="{AE4C3B61-B822-4786-8815-1E2D6646EF72}">
      <formula1>=IF(M811&lt;&gt;"",INDIRECT(VLOOKUP(M811,NgachLuongData,4,FALSE)),"")</formula1>
    </dataValidation>
    <dataValidation type="list" sqref="M812" xr:uid="{8D5E5BAA-A53C-492E-86E5-621C61893030}">
      <formula1>=IF(L812&lt;&gt;"",INDIRECT(VLOOKUP(L812,ThangLuongData,3,FALSE)),"")</formula1>
    </dataValidation>
    <dataValidation type="list" sqref="N812" xr:uid="{1588E1F3-0E9E-45DC-A544-31A4C1864F9B}">
      <formula1>=IF(M812&lt;&gt;"",INDIRECT(VLOOKUP(M812,NgachLuongData,4,FALSE)),"")</formula1>
    </dataValidation>
    <dataValidation type="list" sqref="M813" xr:uid="{8297DAF7-95F6-4CEF-9022-28A604CA3CD8}">
      <formula1>=IF(L813&lt;&gt;"",INDIRECT(VLOOKUP(L813,ThangLuongData,3,FALSE)),"")</formula1>
    </dataValidation>
    <dataValidation type="list" sqref="N813" xr:uid="{9530A34E-2A17-4F9C-B869-D7C4C3E40D11}">
      <formula1>=IF(M813&lt;&gt;"",INDIRECT(VLOOKUP(M813,NgachLuongData,4,FALSE)),"")</formula1>
    </dataValidation>
    <dataValidation type="list" sqref="M814" xr:uid="{9A7717D3-A1A7-48B5-AC89-D6822E87751A}">
      <formula1>=IF(L814&lt;&gt;"",INDIRECT(VLOOKUP(L814,ThangLuongData,3,FALSE)),"")</formula1>
    </dataValidation>
    <dataValidation type="list" sqref="N814" xr:uid="{97013288-047D-4075-B71A-226B3D546129}">
      <formula1>=IF(M814&lt;&gt;"",INDIRECT(VLOOKUP(M814,NgachLuongData,4,FALSE)),"")</formula1>
    </dataValidation>
    <dataValidation type="list" sqref="M815" xr:uid="{210C9324-DDD6-456C-8C7B-16A11D4777F1}">
      <formula1>=IF(L815&lt;&gt;"",INDIRECT(VLOOKUP(L815,ThangLuongData,3,FALSE)),"")</formula1>
    </dataValidation>
    <dataValidation type="list" sqref="N815" xr:uid="{D62EC7BC-EED7-41D9-8A35-66CF53335D3A}">
      <formula1>=IF(M815&lt;&gt;"",INDIRECT(VLOOKUP(M815,NgachLuongData,4,FALSE)),"")</formula1>
    </dataValidation>
    <dataValidation type="list" sqref="M816" xr:uid="{2A9453BD-2CCD-43CC-967F-3F4FEF6895F8}">
      <formula1>=IF(L816&lt;&gt;"",INDIRECT(VLOOKUP(L816,ThangLuongData,3,FALSE)),"")</formula1>
    </dataValidation>
    <dataValidation type="list" sqref="N816" xr:uid="{A4883CC2-E4D7-4A83-8474-B7BC77124335}">
      <formula1>=IF(M816&lt;&gt;"",INDIRECT(VLOOKUP(M816,NgachLuongData,4,FALSE)),"")</formula1>
    </dataValidation>
    <dataValidation type="list" sqref="M817" xr:uid="{F27FAD19-19A4-4D3E-BE9E-7E9C189D907E}">
      <formula1>=IF(L817&lt;&gt;"",INDIRECT(VLOOKUP(L817,ThangLuongData,3,FALSE)),"")</formula1>
    </dataValidation>
    <dataValidation type="list" sqref="N817" xr:uid="{9637D1E8-5D22-43B0-AB77-62B1D6C9E023}">
      <formula1>=IF(M817&lt;&gt;"",INDIRECT(VLOOKUP(M817,NgachLuongData,4,FALSE)),"")</formula1>
    </dataValidation>
    <dataValidation type="list" sqref="M818" xr:uid="{27934CB9-2BAA-4F51-AC77-07989E083B9D}">
      <formula1>=IF(L818&lt;&gt;"",INDIRECT(VLOOKUP(L818,ThangLuongData,3,FALSE)),"")</formula1>
    </dataValidation>
    <dataValidation type="list" sqref="N818" xr:uid="{8A4A4FFD-B127-4130-BC75-F94340F31C8D}">
      <formula1>=IF(M818&lt;&gt;"",INDIRECT(VLOOKUP(M818,NgachLuongData,4,FALSE)),"")</formula1>
    </dataValidation>
    <dataValidation type="list" sqref="M819" xr:uid="{A4F26143-D754-46B9-AC88-42E79BFD5A3C}">
      <formula1>=IF(L819&lt;&gt;"",INDIRECT(VLOOKUP(L819,ThangLuongData,3,FALSE)),"")</formula1>
    </dataValidation>
    <dataValidation type="list" sqref="N819" xr:uid="{5DC7493C-D6E5-4A7E-A955-31C85B4FC368}">
      <formula1>=IF(M819&lt;&gt;"",INDIRECT(VLOOKUP(M819,NgachLuongData,4,FALSE)),"")</formula1>
    </dataValidation>
    <dataValidation type="list" sqref="M820" xr:uid="{A362B4AD-5D68-486C-B0A5-D77C3F4092B5}">
      <formula1>=IF(L820&lt;&gt;"",INDIRECT(VLOOKUP(L820,ThangLuongData,3,FALSE)),"")</formula1>
    </dataValidation>
    <dataValidation type="list" sqref="N820" xr:uid="{7636F866-8A69-43C3-AC0A-EA1094F2C856}">
      <formula1>=IF(M820&lt;&gt;"",INDIRECT(VLOOKUP(M820,NgachLuongData,4,FALSE)),"")</formula1>
    </dataValidation>
    <dataValidation type="list" sqref="M821" xr:uid="{ECD83C62-A363-413E-8A80-7F9132A25CC6}">
      <formula1>=IF(L821&lt;&gt;"",INDIRECT(VLOOKUP(L821,ThangLuongData,3,FALSE)),"")</formula1>
    </dataValidation>
    <dataValidation type="list" sqref="N821" xr:uid="{2B51F74E-F3D7-4275-9F23-B8D708371EF8}">
      <formula1>=IF(M821&lt;&gt;"",INDIRECT(VLOOKUP(M821,NgachLuongData,4,FALSE)),"")</formula1>
    </dataValidation>
    <dataValidation type="list" sqref="M822" xr:uid="{281986DA-D545-41B8-919E-A98608EE676D}">
      <formula1>=IF(L822&lt;&gt;"",INDIRECT(VLOOKUP(L822,ThangLuongData,3,FALSE)),"")</formula1>
    </dataValidation>
    <dataValidation type="list" sqref="N822" xr:uid="{029D6CB0-4A1A-4F81-8D5C-12CFE776CF03}">
      <formula1>=IF(M822&lt;&gt;"",INDIRECT(VLOOKUP(M822,NgachLuongData,4,FALSE)),"")</formula1>
    </dataValidation>
    <dataValidation type="list" sqref="M823" xr:uid="{9B6322F2-99B7-48D5-997D-94383BA0FFF7}">
      <formula1>=IF(L823&lt;&gt;"",INDIRECT(VLOOKUP(L823,ThangLuongData,3,FALSE)),"")</formula1>
    </dataValidation>
    <dataValidation type="list" sqref="N823" xr:uid="{1AE9F9DF-79CB-48DC-AC0E-7263741EF6A0}">
      <formula1>=IF(M823&lt;&gt;"",INDIRECT(VLOOKUP(M823,NgachLuongData,4,FALSE)),"")</formula1>
    </dataValidation>
    <dataValidation type="list" sqref="M824" xr:uid="{B8B124E0-9AF1-4D35-8CA0-AA0918E16B51}">
      <formula1>=IF(L824&lt;&gt;"",INDIRECT(VLOOKUP(L824,ThangLuongData,3,FALSE)),"")</formula1>
    </dataValidation>
    <dataValidation type="list" sqref="N824" xr:uid="{3710D19F-7CBA-45C5-A989-2CA91A21E26E}">
      <formula1>=IF(M824&lt;&gt;"",INDIRECT(VLOOKUP(M824,NgachLuongData,4,FALSE)),"")</formula1>
    </dataValidation>
    <dataValidation type="list" sqref="M825" xr:uid="{B5F743DE-A24F-4635-9222-491FABEB0675}">
      <formula1>=IF(L825&lt;&gt;"",INDIRECT(VLOOKUP(L825,ThangLuongData,3,FALSE)),"")</formula1>
    </dataValidation>
    <dataValidation type="list" sqref="N825" xr:uid="{ABC69EEE-AC74-4AF3-BED1-325E6B5E6488}">
      <formula1>=IF(M825&lt;&gt;"",INDIRECT(VLOOKUP(M825,NgachLuongData,4,FALSE)),"")</formula1>
    </dataValidation>
    <dataValidation type="list" sqref="M826" xr:uid="{1FABB7C6-EF39-4721-A1B5-0FDB8F5158E7}">
      <formula1>=IF(L826&lt;&gt;"",INDIRECT(VLOOKUP(L826,ThangLuongData,3,FALSE)),"")</formula1>
    </dataValidation>
    <dataValidation type="list" sqref="N826" xr:uid="{D2357350-1A35-4088-A678-E1E774A79F71}">
      <formula1>=IF(M826&lt;&gt;"",INDIRECT(VLOOKUP(M826,NgachLuongData,4,FALSE)),"")</formula1>
    </dataValidation>
    <dataValidation type="list" sqref="M827" xr:uid="{086CE2B9-7793-4423-8607-574C1853A9CD}">
      <formula1>=IF(L827&lt;&gt;"",INDIRECT(VLOOKUP(L827,ThangLuongData,3,FALSE)),"")</formula1>
    </dataValidation>
    <dataValidation type="list" sqref="N827" xr:uid="{3C4F0C29-4F96-4991-B963-A86550CF9438}">
      <formula1>=IF(M827&lt;&gt;"",INDIRECT(VLOOKUP(M827,NgachLuongData,4,FALSE)),"")</formula1>
    </dataValidation>
    <dataValidation type="list" sqref="M828" xr:uid="{DC877ED6-D537-417C-BE48-4A5F8B4BAF39}">
      <formula1>=IF(L828&lt;&gt;"",INDIRECT(VLOOKUP(L828,ThangLuongData,3,FALSE)),"")</formula1>
    </dataValidation>
    <dataValidation type="list" sqref="N828" xr:uid="{57A0B2CA-9928-4C04-8C62-923D92B4ED9F}">
      <formula1>=IF(M828&lt;&gt;"",INDIRECT(VLOOKUP(M828,NgachLuongData,4,FALSE)),"")</formula1>
    </dataValidation>
    <dataValidation type="list" sqref="M829" xr:uid="{B6518B2C-B9F3-4764-8E47-E12C3905B4A5}">
      <formula1>=IF(L829&lt;&gt;"",INDIRECT(VLOOKUP(L829,ThangLuongData,3,FALSE)),"")</formula1>
    </dataValidation>
    <dataValidation type="list" sqref="N829" xr:uid="{10B8264E-E741-4A1D-B315-8ED189B22CAD}">
      <formula1>=IF(M829&lt;&gt;"",INDIRECT(VLOOKUP(M829,NgachLuongData,4,FALSE)),"")</formula1>
    </dataValidation>
    <dataValidation type="list" sqref="M830" xr:uid="{51313527-A6BD-4256-B446-8F339752635C}">
      <formula1>=IF(L830&lt;&gt;"",INDIRECT(VLOOKUP(L830,ThangLuongData,3,FALSE)),"")</formula1>
    </dataValidation>
    <dataValidation type="list" sqref="N830" xr:uid="{54CE23EC-7A7C-469D-A6B4-78E8D2432D20}">
      <formula1>=IF(M830&lt;&gt;"",INDIRECT(VLOOKUP(M830,NgachLuongData,4,FALSE)),"")</formula1>
    </dataValidation>
    <dataValidation type="list" sqref="M831" xr:uid="{A7AA5FEE-8A53-4125-A4D4-3239C9715E0F}">
      <formula1>=IF(L831&lt;&gt;"",INDIRECT(VLOOKUP(L831,ThangLuongData,3,FALSE)),"")</formula1>
    </dataValidation>
    <dataValidation type="list" sqref="N831" xr:uid="{BC661AFB-B1D8-45E7-9CD3-6633C75D5C2D}">
      <formula1>=IF(M831&lt;&gt;"",INDIRECT(VLOOKUP(M831,NgachLuongData,4,FALSE)),"")</formula1>
    </dataValidation>
    <dataValidation type="list" sqref="M832" xr:uid="{350A04A5-13B9-442B-8C97-20A9F703A9D7}">
      <formula1>=IF(L832&lt;&gt;"",INDIRECT(VLOOKUP(L832,ThangLuongData,3,FALSE)),"")</formula1>
    </dataValidation>
    <dataValidation type="list" sqref="N832" xr:uid="{45D508D5-2456-4F78-9CF8-F2EB8A960899}">
      <formula1>=IF(M832&lt;&gt;"",INDIRECT(VLOOKUP(M832,NgachLuongData,4,FALSE)),"")</formula1>
    </dataValidation>
    <dataValidation type="list" sqref="M833" xr:uid="{513C0652-BE4A-47FA-975C-DF941F71F45E}">
      <formula1>=IF(L833&lt;&gt;"",INDIRECT(VLOOKUP(L833,ThangLuongData,3,FALSE)),"")</formula1>
    </dataValidation>
    <dataValidation type="list" sqref="N833" xr:uid="{2301C6FE-A93B-436B-93E8-38F4296B511D}">
      <formula1>=IF(M833&lt;&gt;"",INDIRECT(VLOOKUP(M833,NgachLuongData,4,FALSE)),"")</formula1>
    </dataValidation>
    <dataValidation type="list" sqref="M834" xr:uid="{8893676B-DD6F-4F10-A4F3-BF4886F34433}">
      <formula1>=IF(L834&lt;&gt;"",INDIRECT(VLOOKUP(L834,ThangLuongData,3,FALSE)),"")</formula1>
    </dataValidation>
    <dataValidation type="list" sqref="N834" xr:uid="{F7F5E3B7-1551-40E3-BEB4-1D45C46A8A04}">
      <formula1>=IF(M834&lt;&gt;"",INDIRECT(VLOOKUP(M834,NgachLuongData,4,FALSE)),"")</formula1>
    </dataValidation>
    <dataValidation type="list" sqref="M835" xr:uid="{7E746180-CB52-4650-9A93-7B0DDA6D684C}">
      <formula1>=IF(L835&lt;&gt;"",INDIRECT(VLOOKUP(L835,ThangLuongData,3,FALSE)),"")</formula1>
    </dataValidation>
    <dataValidation type="list" sqref="N835" xr:uid="{2785D19F-FE1A-4679-BE2C-72CC5048E135}">
      <formula1>=IF(M835&lt;&gt;"",INDIRECT(VLOOKUP(M835,NgachLuongData,4,FALSE)),"")</formula1>
    </dataValidation>
    <dataValidation type="list" sqref="M836" xr:uid="{51A382D0-69A6-46B3-9581-DDB2BEE2ACA6}">
      <formula1>=IF(L836&lt;&gt;"",INDIRECT(VLOOKUP(L836,ThangLuongData,3,FALSE)),"")</formula1>
    </dataValidation>
    <dataValidation type="list" sqref="N836" xr:uid="{5A6715A9-88FB-422E-988C-23A86EBD024F}">
      <formula1>=IF(M836&lt;&gt;"",INDIRECT(VLOOKUP(M836,NgachLuongData,4,FALSE)),"")</formula1>
    </dataValidation>
    <dataValidation type="list" sqref="M837" xr:uid="{A56C2120-13CB-4521-BDE8-DFDB2705A080}">
      <formula1>=IF(L837&lt;&gt;"",INDIRECT(VLOOKUP(L837,ThangLuongData,3,FALSE)),"")</formula1>
    </dataValidation>
    <dataValidation type="list" sqref="N837" xr:uid="{27E25B80-A821-45E8-A3C2-8CC66A4D329F}">
      <formula1>=IF(M837&lt;&gt;"",INDIRECT(VLOOKUP(M837,NgachLuongData,4,FALSE)),"")</formula1>
    </dataValidation>
    <dataValidation type="list" sqref="M838" xr:uid="{CB9E6D2E-1768-4849-8D8A-5F95C90E84FE}">
      <formula1>=IF(L838&lt;&gt;"",INDIRECT(VLOOKUP(L838,ThangLuongData,3,FALSE)),"")</formula1>
    </dataValidation>
    <dataValidation type="list" sqref="N838" xr:uid="{5D2C6A3A-2B6A-4A90-9D51-F34AE3D968F3}">
      <formula1>=IF(M838&lt;&gt;"",INDIRECT(VLOOKUP(M838,NgachLuongData,4,FALSE)),"")</formula1>
    </dataValidation>
    <dataValidation type="list" sqref="M839" xr:uid="{99DCE2C2-90E6-477D-9F5C-9A4E577B2FC0}">
      <formula1>=IF(L839&lt;&gt;"",INDIRECT(VLOOKUP(L839,ThangLuongData,3,FALSE)),"")</formula1>
    </dataValidation>
    <dataValidation type="list" sqref="N839" xr:uid="{65CC12D2-75F5-4330-BD99-E38012EE3D20}">
      <formula1>=IF(M839&lt;&gt;"",INDIRECT(VLOOKUP(M839,NgachLuongData,4,FALSE)),"")</formula1>
    </dataValidation>
    <dataValidation type="list" sqref="M840" xr:uid="{C5FC7414-7217-45B6-AA5F-909AFF67F4CC}">
      <formula1>=IF(L840&lt;&gt;"",INDIRECT(VLOOKUP(L840,ThangLuongData,3,FALSE)),"")</formula1>
    </dataValidation>
    <dataValidation type="list" sqref="N840" xr:uid="{51850B36-216A-4122-9993-29B9A62F7E96}">
      <formula1>=IF(M840&lt;&gt;"",INDIRECT(VLOOKUP(M840,NgachLuongData,4,FALSE)),"")</formula1>
    </dataValidation>
    <dataValidation type="list" sqref="M841" xr:uid="{7A31CC96-3946-4630-B302-885402097F7A}">
      <formula1>=IF(L841&lt;&gt;"",INDIRECT(VLOOKUP(L841,ThangLuongData,3,FALSE)),"")</formula1>
    </dataValidation>
    <dataValidation type="list" sqref="N841" xr:uid="{D535A818-0831-42B3-9433-A3CA56755569}">
      <formula1>=IF(M841&lt;&gt;"",INDIRECT(VLOOKUP(M841,NgachLuongData,4,FALSE)),"")</formula1>
    </dataValidation>
    <dataValidation type="list" sqref="M842" xr:uid="{EF922D74-A436-4BD6-B04D-013C1EB41FC9}">
      <formula1>=IF(L842&lt;&gt;"",INDIRECT(VLOOKUP(L842,ThangLuongData,3,FALSE)),"")</formula1>
    </dataValidation>
    <dataValidation type="list" sqref="N842" xr:uid="{87CC1FCC-6A03-4CBB-A021-62F234CA641A}">
      <formula1>=IF(M842&lt;&gt;"",INDIRECT(VLOOKUP(M842,NgachLuongData,4,FALSE)),"")</formula1>
    </dataValidation>
    <dataValidation type="list" sqref="M843" xr:uid="{6E6FACA1-4F2A-49AE-8A06-A72B879EA97E}">
      <formula1>=IF(L843&lt;&gt;"",INDIRECT(VLOOKUP(L843,ThangLuongData,3,FALSE)),"")</formula1>
    </dataValidation>
    <dataValidation type="list" sqref="N843" xr:uid="{4E270103-6F32-412F-B77A-69C9FD6A5CD5}">
      <formula1>=IF(M843&lt;&gt;"",INDIRECT(VLOOKUP(M843,NgachLuongData,4,FALSE)),"")</formula1>
    </dataValidation>
    <dataValidation type="list" sqref="M844" xr:uid="{39D98B2A-02DC-4046-8DD6-390C2FD256C4}">
      <formula1>=IF(L844&lt;&gt;"",INDIRECT(VLOOKUP(L844,ThangLuongData,3,FALSE)),"")</formula1>
    </dataValidation>
    <dataValidation type="list" sqref="N844" xr:uid="{6392A718-1A0E-4268-8744-978C2C606473}">
      <formula1>=IF(M844&lt;&gt;"",INDIRECT(VLOOKUP(M844,NgachLuongData,4,FALSE)),"")</formula1>
    </dataValidation>
    <dataValidation type="list" sqref="M845" xr:uid="{C5AB672C-EF1E-443B-9446-9C38324952CC}">
      <formula1>=IF(L845&lt;&gt;"",INDIRECT(VLOOKUP(L845,ThangLuongData,3,FALSE)),"")</formula1>
    </dataValidation>
    <dataValidation type="list" sqref="N845" xr:uid="{5BE54773-FBC7-4210-9E86-A9D4456E3635}">
      <formula1>=IF(M845&lt;&gt;"",INDIRECT(VLOOKUP(M845,NgachLuongData,4,FALSE)),"")</formula1>
    </dataValidation>
    <dataValidation type="list" sqref="M846" xr:uid="{2427C835-B3F2-41B5-8CF0-9CBE800F016F}">
      <formula1>=IF(L846&lt;&gt;"",INDIRECT(VLOOKUP(L846,ThangLuongData,3,FALSE)),"")</formula1>
    </dataValidation>
    <dataValidation type="list" sqref="N846" xr:uid="{28BBCA3C-B315-4EC1-92FB-DD2710466B8B}">
      <formula1>=IF(M846&lt;&gt;"",INDIRECT(VLOOKUP(M846,NgachLuongData,4,FALSE)),"")</formula1>
    </dataValidation>
    <dataValidation type="list" sqref="M847" xr:uid="{C9E3167E-AED4-4BD4-89F9-0E15BB0E6B40}">
      <formula1>=IF(L847&lt;&gt;"",INDIRECT(VLOOKUP(L847,ThangLuongData,3,FALSE)),"")</formula1>
    </dataValidation>
    <dataValidation type="list" sqref="N847" xr:uid="{9E279A25-B41A-4D68-B787-D6E9A72553A1}">
      <formula1>=IF(M847&lt;&gt;"",INDIRECT(VLOOKUP(M847,NgachLuongData,4,FALSE)),"")</formula1>
    </dataValidation>
    <dataValidation type="list" sqref="M848" xr:uid="{5FCB5375-7C35-43FF-A170-36E531453B5C}">
      <formula1>=IF(L848&lt;&gt;"",INDIRECT(VLOOKUP(L848,ThangLuongData,3,FALSE)),"")</formula1>
    </dataValidation>
    <dataValidation type="list" sqref="N848" xr:uid="{3D2ABD58-5DE7-4BF2-BD73-77A4EC88FBA6}">
      <formula1>=IF(M848&lt;&gt;"",INDIRECT(VLOOKUP(M848,NgachLuongData,4,FALSE)),"")</formula1>
    </dataValidation>
    <dataValidation type="list" sqref="M849" xr:uid="{D082AA93-4EDD-478D-A4F4-428D45C58E8B}">
      <formula1>=IF(L849&lt;&gt;"",INDIRECT(VLOOKUP(L849,ThangLuongData,3,FALSE)),"")</formula1>
    </dataValidation>
    <dataValidation type="list" sqref="N849" xr:uid="{A4659A13-A305-4243-A655-A819BBC61A8E}">
      <formula1>=IF(M849&lt;&gt;"",INDIRECT(VLOOKUP(M849,NgachLuongData,4,FALSE)),"")</formula1>
    </dataValidation>
    <dataValidation type="list" sqref="M850" xr:uid="{E4646D9B-2807-42B0-B9CB-D218089ACFE0}">
      <formula1>=IF(L850&lt;&gt;"",INDIRECT(VLOOKUP(L850,ThangLuongData,3,FALSE)),"")</formula1>
    </dataValidation>
    <dataValidation type="list" sqref="N850" xr:uid="{BC2ABF3A-E59F-4A64-9566-1467955ACCE4}">
      <formula1>=IF(M850&lt;&gt;"",INDIRECT(VLOOKUP(M850,NgachLuongData,4,FALSE)),"")</formula1>
    </dataValidation>
    <dataValidation type="list" sqref="M851" xr:uid="{7F90F9CC-CB81-4E9B-AE06-3D73838A9DD0}">
      <formula1>=IF(L851&lt;&gt;"",INDIRECT(VLOOKUP(L851,ThangLuongData,3,FALSE)),"")</formula1>
    </dataValidation>
    <dataValidation type="list" sqref="N851" xr:uid="{76FAB719-56C4-4B7F-BC6C-B4B23D8E69B1}">
      <formula1>=IF(M851&lt;&gt;"",INDIRECT(VLOOKUP(M851,NgachLuongData,4,FALSE)),"")</formula1>
    </dataValidation>
    <dataValidation type="list" sqref="M852" xr:uid="{6E885FDD-71B3-45AE-A40E-3AA2BDCEFC53}">
      <formula1>=IF(L852&lt;&gt;"",INDIRECT(VLOOKUP(L852,ThangLuongData,3,FALSE)),"")</formula1>
    </dataValidation>
    <dataValidation type="list" sqref="N852" xr:uid="{007AE2C7-68BD-4CDA-9801-2B4D7FC7B932}">
      <formula1>=IF(M852&lt;&gt;"",INDIRECT(VLOOKUP(M852,NgachLuongData,4,FALSE)),"")</formula1>
    </dataValidation>
    <dataValidation type="list" sqref="M853" xr:uid="{01A96E19-0073-4525-9766-3B9EB797DFC8}">
      <formula1>=IF(L853&lt;&gt;"",INDIRECT(VLOOKUP(L853,ThangLuongData,3,FALSE)),"")</formula1>
    </dataValidation>
    <dataValidation type="list" sqref="N853" xr:uid="{EB52A18B-DA49-4CAC-B401-3A2DC0719F8C}">
      <formula1>=IF(M853&lt;&gt;"",INDIRECT(VLOOKUP(M853,NgachLuongData,4,FALSE)),"")</formula1>
    </dataValidation>
    <dataValidation type="list" sqref="M854" xr:uid="{E1233DFD-CC40-4EB7-AF66-87D8CC507E37}">
      <formula1>=IF(L854&lt;&gt;"",INDIRECT(VLOOKUP(L854,ThangLuongData,3,FALSE)),"")</formula1>
    </dataValidation>
    <dataValidation type="list" sqref="N854" xr:uid="{5316F17D-F798-4A29-AAA0-6AD180758B7B}">
      <formula1>=IF(M854&lt;&gt;"",INDIRECT(VLOOKUP(M854,NgachLuongData,4,FALSE)),"")</formula1>
    </dataValidation>
    <dataValidation type="list" sqref="M855" xr:uid="{BC828A00-D12E-4DB7-9ED3-11D1BCE8230E}">
      <formula1>=IF(L855&lt;&gt;"",INDIRECT(VLOOKUP(L855,ThangLuongData,3,FALSE)),"")</formula1>
    </dataValidation>
    <dataValidation type="list" sqref="N855" xr:uid="{25F44F85-8426-4597-9D98-5DEEBC85D1EF}">
      <formula1>=IF(M855&lt;&gt;"",INDIRECT(VLOOKUP(M855,NgachLuongData,4,FALSE)),"")</formula1>
    </dataValidation>
    <dataValidation type="list" sqref="M856" xr:uid="{B2165D94-C367-4042-9963-A703E8EE912B}">
      <formula1>=IF(L856&lt;&gt;"",INDIRECT(VLOOKUP(L856,ThangLuongData,3,FALSE)),"")</formula1>
    </dataValidation>
    <dataValidation type="list" sqref="N856" xr:uid="{40222962-A313-457A-B730-03781D739A08}">
      <formula1>=IF(M856&lt;&gt;"",INDIRECT(VLOOKUP(M856,NgachLuongData,4,FALSE)),"")</formula1>
    </dataValidation>
    <dataValidation type="list" sqref="M857" xr:uid="{2F14050E-8216-44A1-9919-F82D308AE6E4}">
      <formula1>=IF(L857&lt;&gt;"",INDIRECT(VLOOKUP(L857,ThangLuongData,3,FALSE)),"")</formula1>
    </dataValidation>
    <dataValidation type="list" sqref="N857" xr:uid="{FABAAB0A-DF8B-4CD2-81B4-0BE8C81331A1}">
      <formula1>=IF(M857&lt;&gt;"",INDIRECT(VLOOKUP(M857,NgachLuongData,4,FALSE)),"")</formula1>
    </dataValidation>
    <dataValidation type="list" sqref="M858" xr:uid="{641E555C-3531-48ED-8992-37A0A84E50F4}">
      <formula1>=IF(L858&lt;&gt;"",INDIRECT(VLOOKUP(L858,ThangLuongData,3,FALSE)),"")</formula1>
    </dataValidation>
    <dataValidation type="list" sqref="N858" xr:uid="{77742737-D8AE-46F6-9C55-1575C247ED68}">
      <formula1>=IF(M858&lt;&gt;"",INDIRECT(VLOOKUP(M858,NgachLuongData,4,FALSE)),"")</formula1>
    </dataValidation>
    <dataValidation type="list" sqref="M859" xr:uid="{729ADAC1-CFDC-462C-B40B-4163D182093C}">
      <formula1>=IF(L859&lt;&gt;"",INDIRECT(VLOOKUP(L859,ThangLuongData,3,FALSE)),"")</formula1>
    </dataValidation>
    <dataValidation type="list" sqref="N859" xr:uid="{DAFB52B2-32D8-4637-A30C-910BF98F03DF}">
      <formula1>=IF(M859&lt;&gt;"",INDIRECT(VLOOKUP(M859,NgachLuongData,4,FALSE)),"")</formula1>
    </dataValidation>
    <dataValidation type="list" sqref="M860" xr:uid="{D3B4282D-7673-448E-A6F1-A87BA6B474D5}">
      <formula1>=IF(L860&lt;&gt;"",INDIRECT(VLOOKUP(L860,ThangLuongData,3,FALSE)),"")</formula1>
    </dataValidation>
    <dataValidation type="list" sqref="N860" xr:uid="{E9F6C8F2-01C5-46F0-8A11-17265FC2AF2C}">
      <formula1>=IF(M860&lt;&gt;"",INDIRECT(VLOOKUP(M860,NgachLuongData,4,FALSE)),"")</formula1>
    </dataValidation>
    <dataValidation type="list" sqref="M861" xr:uid="{FC898A86-A806-43E6-BFDD-634B3DB13786}">
      <formula1>=IF(L861&lt;&gt;"",INDIRECT(VLOOKUP(L861,ThangLuongData,3,FALSE)),"")</formula1>
    </dataValidation>
    <dataValidation type="list" sqref="N861" xr:uid="{FB5A8557-0065-4265-ABE5-9BAB62C93337}">
      <formula1>=IF(M861&lt;&gt;"",INDIRECT(VLOOKUP(M861,NgachLuongData,4,FALSE)),"")</formula1>
    </dataValidation>
    <dataValidation type="list" sqref="M862" xr:uid="{A62CA6FC-90C1-4F71-9160-1A76FF248F1C}">
      <formula1>=IF(L862&lt;&gt;"",INDIRECT(VLOOKUP(L862,ThangLuongData,3,FALSE)),"")</formula1>
    </dataValidation>
    <dataValidation type="list" sqref="N862" xr:uid="{ECA001ED-2906-440D-9752-E0B2245FB0D5}">
      <formula1>=IF(M862&lt;&gt;"",INDIRECT(VLOOKUP(M862,NgachLuongData,4,FALSE)),"")</formula1>
    </dataValidation>
    <dataValidation type="list" sqref="M863" xr:uid="{40A98657-E113-496C-99F7-BC2BA738E17A}">
      <formula1>=IF(L863&lt;&gt;"",INDIRECT(VLOOKUP(L863,ThangLuongData,3,FALSE)),"")</formula1>
    </dataValidation>
    <dataValidation type="list" sqref="N863" xr:uid="{7385CA58-889F-4A6E-9710-141EB5601100}">
      <formula1>=IF(M863&lt;&gt;"",INDIRECT(VLOOKUP(M863,NgachLuongData,4,FALSE)),"")</formula1>
    </dataValidation>
    <dataValidation type="list" sqref="M864" xr:uid="{4E2BC572-E7A4-4522-9C3B-91EB6540C9B6}">
      <formula1>=IF(L864&lt;&gt;"",INDIRECT(VLOOKUP(L864,ThangLuongData,3,FALSE)),"")</formula1>
    </dataValidation>
    <dataValidation type="list" sqref="N864" xr:uid="{317C6A07-373D-4A52-A0DF-7DBB2C81C87C}">
      <formula1>=IF(M864&lt;&gt;"",INDIRECT(VLOOKUP(M864,NgachLuongData,4,FALSE)),"")</formula1>
    </dataValidation>
    <dataValidation type="list" sqref="M865" xr:uid="{DFA300F0-707E-4EFF-82FA-95C52B168FF8}">
      <formula1>=IF(L865&lt;&gt;"",INDIRECT(VLOOKUP(L865,ThangLuongData,3,FALSE)),"")</formula1>
    </dataValidation>
    <dataValidation type="list" sqref="N865" xr:uid="{3FDE8A52-339E-44C9-8FF7-D9FC9B012648}">
      <formula1>=IF(M865&lt;&gt;"",INDIRECT(VLOOKUP(M865,NgachLuongData,4,FALSE)),"")</formula1>
    </dataValidation>
    <dataValidation type="list" sqref="M866" xr:uid="{248452FA-1B43-4424-9FA5-2A913D5AE82B}">
      <formula1>=IF(L866&lt;&gt;"",INDIRECT(VLOOKUP(L866,ThangLuongData,3,FALSE)),"")</formula1>
    </dataValidation>
    <dataValidation type="list" sqref="N866" xr:uid="{B13A9CD2-2924-438E-80D3-235B85327160}">
      <formula1>=IF(M866&lt;&gt;"",INDIRECT(VLOOKUP(M866,NgachLuongData,4,FALSE)),"")</formula1>
    </dataValidation>
    <dataValidation type="list" sqref="M867" xr:uid="{2CF9C28E-CB4F-4E8F-8EC0-3B12BF6BB4A3}">
      <formula1>=IF(L867&lt;&gt;"",INDIRECT(VLOOKUP(L867,ThangLuongData,3,FALSE)),"")</formula1>
    </dataValidation>
    <dataValidation type="list" sqref="N867" xr:uid="{BBB1489F-725B-4F6A-8224-7B6625C2D1A9}">
      <formula1>=IF(M867&lt;&gt;"",INDIRECT(VLOOKUP(M867,NgachLuongData,4,FALSE)),"")</formula1>
    </dataValidation>
    <dataValidation type="list" sqref="M868" xr:uid="{4360E30C-8E82-4CA9-BC3C-FE954A713AAD}">
      <formula1>=IF(L868&lt;&gt;"",INDIRECT(VLOOKUP(L868,ThangLuongData,3,FALSE)),"")</formula1>
    </dataValidation>
    <dataValidation type="list" sqref="N868" xr:uid="{72600C90-B9BD-4ECC-8A58-3B4DD06FD7E2}">
      <formula1>=IF(M868&lt;&gt;"",INDIRECT(VLOOKUP(M868,NgachLuongData,4,FALSE)),"")</formula1>
    </dataValidation>
    <dataValidation type="list" sqref="M869" xr:uid="{21B9C290-3090-4B74-B4FC-896C55B024F3}">
      <formula1>=IF(L869&lt;&gt;"",INDIRECT(VLOOKUP(L869,ThangLuongData,3,FALSE)),"")</formula1>
    </dataValidation>
    <dataValidation type="list" sqref="N869" xr:uid="{4ECF825C-C6A0-4D57-BAC8-C50388D9B75E}">
      <formula1>=IF(M869&lt;&gt;"",INDIRECT(VLOOKUP(M869,NgachLuongData,4,FALSE)),"")</formula1>
    </dataValidation>
    <dataValidation type="list" sqref="M870" xr:uid="{BE21281D-7048-47E9-A15C-989FB31EBB40}">
      <formula1>=IF(L870&lt;&gt;"",INDIRECT(VLOOKUP(L870,ThangLuongData,3,FALSE)),"")</formula1>
    </dataValidation>
    <dataValidation type="list" sqref="N870" xr:uid="{7BD6D25D-65FD-48DE-ABB4-FA0DDEBCD4D4}">
      <formula1>=IF(M870&lt;&gt;"",INDIRECT(VLOOKUP(M870,NgachLuongData,4,FALSE)),"")</formula1>
    </dataValidation>
    <dataValidation type="list" sqref="M871" xr:uid="{23785C9A-9DCA-47CC-8BF8-C7C45581C217}">
      <formula1>=IF(L871&lt;&gt;"",INDIRECT(VLOOKUP(L871,ThangLuongData,3,FALSE)),"")</formula1>
    </dataValidation>
    <dataValidation type="list" sqref="N871" xr:uid="{ADD9A077-ECB9-418C-BE07-A54A1EDEE609}">
      <formula1>=IF(M871&lt;&gt;"",INDIRECT(VLOOKUP(M871,NgachLuongData,4,FALSE)),"")</formula1>
    </dataValidation>
    <dataValidation type="list" sqref="M872" xr:uid="{0A8AC9C6-17B8-40D9-9B82-CA59E8CA3D66}">
      <formula1>=IF(L872&lt;&gt;"",INDIRECT(VLOOKUP(L872,ThangLuongData,3,FALSE)),"")</formula1>
    </dataValidation>
    <dataValidation type="list" sqref="N872" xr:uid="{40D74056-6473-4B51-9840-7DE6E3C0BAAB}">
      <formula1>=IF(M872&lt;&gt;"",INDIRECT(VLOOKUP(M872,NgachLuongData,4,FALSE)),"")</formula1>
    </dataValidation>
    <dataValidation type="list" sqref="M873" xr:uid="{1700FAA1-F223-4170-9ADB-C0F25F0E12EC}">
      <formula1>=IF(L873&lt;&gt;"",INDIRECT(VLOOKUP(L873,ThangLuongData,3,FALSE)),"")</formula1>
    </dataValidation>
    <dataValidation type="list" sqref="N873" xr:uid="{F19CB4A8-EB6E-4B64-8AB4-A6857C2390D5}">
      <formula1>=IF(M873&lt;&gt;"",INDIRECT(VLOOKUP(M873,NgachLuongData,4,FALSE)),"")</formula1>
    </dataValidation>
    <dataValidation type="list" sqref="M874" xr:uid="{E35528C6-8A9B-4017-A2CF-10FA5ADC6D21}">
      <formula1>=IF(L874&lt;&gt;"",INDIRECT(VLOOKUP(L874,ThangLuongData,3,FALSE)),"")</formula1>
    </dataValidation>
    <dataValidation type="list" sqref="N874" xr:uid="{92551FA3-2B36-44F8-9884-4EA543151B7E}">
      <formula1>=IF(M874&lt;&gt;"",INDIRECT(VLOOKUP(M874,NgachLuongData,4,FALSE)),"")</formula1>
    </dataValidation>
    <dataValidation type="list" sqref="M875" xr:uid="{50306291-8888-49E8-9049-48C014B8E0FE}">
      <formula1>=IF(L875&lt;&gt;"",INDIRECT(VLOOKUP(L875,ThangLuongData,3,FALSE)),"")</formula1>
    </dataValidation>
    <dataValidation type="list" sqref="N875" xr:uid="{4868CD6E-DD78-4089-B76E-FBA4FFA97665}">
      <formula1>=IF(M875&lt;&gt;"",INDIRECT(VLOOKUP(M875,NgachLuongData,4,FALSE)),"")</formula1>
    </dataValidation>
    <dataValidation type="list" sqref="M876" xr:uid="{C53FCA43-6182-4448-9D23-753E7061BE91}">
      <formula1>=IF(L876&lt;&gt;"",INDIRECT(VLOOKUP(L876,ThangLuongData,3,FALSE)),"")</formula1>
    </dataValidation>
    <dataValidation type="list" sqref="N876" xr:uid="{BF6222BA-B75D-455B-AD29-61C26E01D0A9}">
      <formula1>=IF(M876&lt;&gt;"",INDIRECT(VLOOKUP(M876,NgachLuongData,4,FALSE)),"")</formula1>
    </dataValidation>
    <dataValidation type="list" sqref="M877" xr:uid="{3A0F809F-3E4D-40C9-8E0A-294BD469D580}">
      <formula1>=IF(L877&lt;&gt;"",INDIRECT(VLOOKUP(L877,ThangLuongData,3,FALSE)),"")</formula1>
    </dataValidation>
    <dataValidation type="list" sqref="N877" xr:uid="{A38ADA68-9BA9-4D42-B9B1-4717F26430C4}">
      <formula1>=IF(M877&lt;&gt;"",INDIRECT(VLOOKUP(M877,NgachLuongData,4,FALSE)),"")</formula1>
    </dataValidation>
    <dataValidation type="list" sqref="M878" xr:uid="{204F056B-92EC-45C4-91E8-683FC8B303BE}">
      <formula1>=IF(L878&lt;&gt;"",INDIRECT(VLOOKUP(L878,ThangLuongData,3,FALSE)),"")</formula1>
    </dataValidation>
    <dataValidation type="list" sqref="N878" xr:uid="{A070B7A8-AB79-4169-89B3-0A2EC6ADE768}">
      <formula1>=IF(M878&lt;&gt;"",INDIRECT(VLOOKUP(M878,NgachLuongData,4,FALSE)),"")</formula1>
    </dataValidation>
    <dataValidation type="list" sqref="M879" xr:uid="{5C37CCBF-BA70-4539-8541-03D1F9EBEFB6}">
      <formula1>=IF(L879&lt;&gt;"",INDIRECT(VLOOKUP(L879,ThangLuongData,3,FALSE)),"")</formula1>
    </dataValidation>
    <dataValidation type="list" sqref="N879" xr:uid="{0CDA37EA-1254-49D7-BE47-E3642E942710}">
      <formula1>=IF(M879&lt;&gt;"",INDIRECT(VLOOKUP(M879,NgachLuongData,4,FALSE)),"")</formula1>
    </dataValidation>
    <dataValidation type="list" sqref="M880" xr:uid="{1E427F52-9473-4E8F-829B-28B6263FD140}">
      <formula1>=IF(L880&lt;&gt;"",INDIRECT(VLOOKUP(L880,ThangLuongData,3,FALSE)),"")</formula1>
    </dataValidation>
    <dataValidation type="list" sqref="N880" xr:uid="{68FAD24E-53B2-4FD9-87BF-2AE34B2A43E0}">
      <formula1>=IF(M880&lt;&gt;"",INDIRECT(VLOOKUP(M880,NgachLuongData,4,FALSE)),"")</formula1>
    </dataValidation>
    <dataValidation type="list" sqref="M881" xr:uid="{754AF753-41E8-4468-B0FC-6BD97FAC6878}">
      <formula1>=IF(L881&lt;&gt;"",INDIRECT(VLOOKUP(L881,ThangLuongData,3,FALSE)),"")</formula1>
    </dataValidation>
    <dataValidation type="list" sqref="N881" xr:uid="{0B5E050D-E501-4EC9-90D3-04197F557D2E}">
      <formula1>=IF(M881&lt;&gt;"",INDIRECT(VLOOKUP(M881,NgachLuongData,4,FALSE)),"")</formula1>
    </dataValidation>
    <dataValidation type="list" sqref="M882" xr:uid="{8DD04FFF-C4D8-4942-B04E-50E7D198929A}">
      <formula1>=IF(L882&lt;&gt;"",INDIRECT(VLOOKUP(L882,ThangLuongData,3,FALSE)),"")</formula1>
    </dataValidation>
    <dataValidation type="list" sqref="N882" xr:uid="{02F3CA27-5F46-44D4-B521-52D01745FCD3}">
      <formula1>=IF(M882&lt;&gt;"",INDIRECT(VLOOKUP(M882,NgachLuongData,4,FALSE)),"")</formula1>
    </dataValidation>
    <dataValidation type="list" sqref="M883" xr:uid="{69DF4DDE-4457-4CE7-81FF-C645EBE03C9F}">
      <formula1>=IF(L883&lt;&gt;"",INDIRECT(VLOOKUP(L883,ThangLuongData,3,FALSE)),"")</formula1>
    </dataValidation>
    <dataValidation type="list" sqref="N883" xr:uid="{038EB2A4-C57A-4DCB-94D2-E68311336D11}">
      <formula1>=IF(M883&lt;&gt;"",INDIRECT(VLOOKUP(M883,NgachLuongData,4,FALSE)),"")</formula1>
    </dataValidation>
    <dataValidation type="list" sqref="M884" xr:uid="{A4FD9AA5-E32D-45A8-96E0-FE30FA68674A}">
      <formula1>=IF(L884&lt;&gt;"",INDIRECT(VLOOKUP(L884,ThangLuongData,3,FALSE)),"")</formula1>
    </dataValidation>
    <dataValidation type="list" sqref="N884" xr:uid="{1D1214CC-E8E6-4C00-A397-07A7E1A70D45}">
      <formula1>=IF(M884&lt;&gt;"",INDIRECT(VLOOKUP(M884,NgachLuongData,4,FALSE)),"")</formula1>
    </dataValidation>
    <dataValidation type="list" sqref="M885" xr:uid="{F940E992-3B6B-4DF4-87DD-FD6707C27ED5}">
      <formula1>=IF(L885&lt;&gt;"",INDIRECT(VLOOKUP(L885,ThangLuongData,3,FALSE)),"")</formula1>
    </dataValidation>
    <dataValidation type="list" sqref="N885" xr:uid="{5D71343F-BA7A-4158-8D50-BD191F511F59}">
      <formula1>=IF(M885&lt;&gt;"",INDIRECT(VLOOKUP(M885,NgachLuongData,4,FALSE)),"")</formula1>
    </dataValidation>
    <dataValidation type="list" sqref="M886" xr:uid="{E2D8D6BC-71B5-49E8-B0DC-9F1379270114}">
      <formula1>=IF(L886&lt;&gt;"",INDIRECT(VLOOKUP(L886,ThangLuongData,3,FALSE)),"")</formula1>
    </dataValidation>
    <dataValidation type="list" sqref="N886" xr:uid="{9686DA40-A69A-4D72-976D-21B1907FCB17}">
      <formula1>=IF(M886&lt;&gt;"",INDIRECT(VLOOKUP(M886,NgachLuongData,4,FALSE)),"")</formula1>
    </dataValidation>
    <dataValidation type="list" sqref="M887" xr:uid="{28020D6F-5047-4071-9D70-2F5D6F88B2AE}">
      <formula1>=IF(L887&lt;&gt;"",INDIRECT(VLOOKUP(L887,ThangLuongData,3,FALSE)),"")</formula1>
    </dataValidation>
    <dataValidation type="list" sqref="N887" xr:uid="{D971E0A8-F9AC-49FE-8862-31204E055685}">
      <formula1>=IF(M887&lt;&gt;"",INDIRECT(VLOOKUP(M887,NgachLuongData,4,FALSE)),"")</formula1>
    </dataValidation>
    <dataValidation type="list" sqref="M888" xr:uid="{2925334D-9F15-446C-889E-1A1417CD312B}">
      <formula1>=IF(L888&lt;&gt;"",INDIRECT(VLOOKUP(L888,ThangLuongData,3,FALSE)),"")</formula1>
    </dataValidation>
    <dataValidation type="list" sqref="N888" xr:uid="{C7A36C4E-273B-4211-808F-DBBF252D188A}">
      <formula1>=IF(M888&lt;&gt;"",INDIRECT(VLOOKUP(M888,NgachLuongData,4,FALSE)),"")</formula1>
    </dataValidation>
    <dataValidation type="list" sqref="M889" xr:uid="{3E108D80-A8B3-4BFB-AF3D-E6338EAA2E24}">
      <formula1>=IF(L889&lt;&gt;"",INDIRECT(VLOOKUP(L889,ThangLuongData,3,FALSE)),"")</formula1>
    </dataValidation>
    <dataValidation type="list" sqref="N889" xr:uid="{F2A9A216-9BA1-4F79-BBEB-C2CEE1A67485}">
      <formula1>=IF(M889&lt;&gt;"",INDIRECT(VLOOKUP(M889,NgachLuongData,4,FALSE)),"")</formula1>
    </dataValidation>
    <dataValidation type="list" sqref="M890" xr:uid="{0525005A-30A3-41DE-82B1-22292CFE5CA0}">
      <formula1>=IF(L890&lt;&gt;"",INDIRECT(VLOOKUP(L890,ThangLuongData,3,FALSE)),"")</formula1>
    </dataValidation>
    <dataValidation type="list" sqref="N890" xr:uid="{C6E6E799-21C8-4552-8042-4CE4465E97D5}">
      <formula1>=IF(M890&lt;&gt;"",INDIRECT(VLOOKUP(M890,NgachLuongData,4,FALSE)),"")</formula1>
    </dataValidation>
    <dataValidation type="list" sqref="M891" xr:uid="{AFE4F735-2D4E-490E-82B6-B9ACAAF5879D}">
      <formula1>=IF(L891&lt;&gt;"",INDIRECT(VLOOKUP(L891,ThangLuongData,3,FALSE)),"")</formula1>
    </dataValidation>
    <dataValidation type="list" sqref="N891" xr:uid="{222E5FE4-56BB-439C-A0EC-6B6E2F7C9871}">
      <formula1>=IF(M891&lt;&gt;"",INDIRECT(VLOOKUP(M891,NgachLuongData,4,FALSE)),"")</formula1>
    </dataValidation>
    <dataValidation type="list" sqref="M892" xr:uid="{650DF9A9-D7D7-4422-AE37-196A1939C18F}">
      <formula1>=IF(L892&lt;&gt;"",INDIRECT(VLOOKUP(L892,ThangLuongData,3,FALSE)),"")</formula1>
    </dataValidation>
    <dataValidation type="list" sqref="N892" xr:uid="{A4087F36-D71C-4AEC-9BE6-B93A7AA572BD}">
      <formula1>=IF(M892&lt;&gt;"",INDIRECT(VLOOKUP(M892,NgachLuongData,4,FALSE)),"")</formula1>
    </dataValidation>
    <dataValidation type="list" sqref="M893" xr:uid="{417B4624-6E38-46AB-9A56-FBD6A3678D52}">
      <formula1>=IF(L893&lt;&gt;"",INDIRECT(VLOOKUP(L893,ThangLuongData,3,FALSE)),"")</formula1>
    </dataValidation>
    <dataValidation type="list" sqref="N893" xr:uid="{59ADC711-AA5B-4A3A-9ED4-57A1DD064DAC}">
      <formula1>=IF(M893&lt;&gt;"",INDIRECT(VLOOKUP(M893,NgachLuongData,4,FALSE)),"")</formula1>
    </dataValidation>
    <dataValidation type="list" sqref="M894" xr:uid="{B77AD019-59E8-44FA-93E7-28F1816F2DB5}">
      <formula1>=IF(L894&lt;&gt;"",INDIRECT(VLOOKUP(L894,ThangLuongData,3,FALSE)),"")</formula1>
    </dataValidation>
    <dataValidation type="list" sqref="N894" xr:uid="{F3321B20-6F15-4B95-A6E6-A711F0130FEC}">
      <formula1>=IF(M894&lt;&gt;"",INDIRECT(VLOOKUP(M894,NgachLuongData,4,FALSE)),"")</formula1>
    </dataValidation>
    <dataValidation type="list" sqref="M895" xr:uid="{2F35017D-3110-4F40-9BB3-90F4672D5622}">
      <formula1>=IF(L895&lt;&gt;"",INDIRECT(VLOOKUP(L895,ThangLuongData,3,FALSE)),"")</formula1>
    </dataValidation>
    <dataValidation type="list" sqref="N895" xr:uid="{04A3D2C8-59BC-4C7C-ABC3-371FA20450FF}">
      <formula1>=IF(M895&lt;&gt;"",INDIRECT(VLOOKUP(M895,NgachLuongData,4,FALSE)),"")</formula1>
    </dataValidation>
    <dataValidation type="list" sqref="M896" xr:uid="{E444FDE3-30CC-42E2-9284-864523BD8367}">
      <formula1>=IF(L896&lt;&gt;"",INDIRECT(VLOOKUP(L896,ThangLuongData,3,FALSE)),"")</formula1>
    </dataValidation>
    <dataValidation type="list" sqref="N896" xr:uid="{E0C9D923-076B-4605-9181-A15A998C0E15}">
      <formula1>=IF(M896&lt;&gt;"",INDIRECT(VLOOKUP(M896,NgachLuongData,4,FALSE)),"")</formula1>
    </dataValidation>
    <dataValidation type="list" sqref="M897" xr:uid="{2F6B9475-C785-4899-B32F-74D439B39148}">
      <formula1>=IF(L897&lt;&gt;"",INDIRECT(VLOOKUP(L897,ThangLuongData,3,FALSE)),"")</formula1>
    </dataValidation>
    <dataValidation type="list" sqref="N897" xr:uid="{5C0EF8C2-8C90-4F25-97CD-727FCC16EC96}">
      <formula1>=IF(M897&lt;&gt;"",INDIRECT(VLOOKUP(M897,NgachLuongData,4,FALSE)),"")</formula1>
    </dataValidation>
    <dataValidation type="list" sqref="M898" xr:uid="{A8312606-C660-4D13-90D8-952D06E57D0E}">
      <formula1>=IF(L898&lt;&gt;"",INDIRECT(VLOOKUP(L898,ThangLuongData,3,FALSE)),"")</formula1>
    </dataValidation>
    <dataValidation type="list" sqref="N898" xr:uid="{75FFCB95-4737-4B4C-B35D-86280E6D7D71}">
      <formula1>=IF(M898&lt;&gt;"",INDIRECT(VLOOKUP(M898,NgachLuongData,4,FALSE)),"")</formula1>
    </dataValidation>
    <dataValidation type="list" sqref="M899" xr:uid="{BD52C357-2343-4E25-9694-A5A588C43553}">
      <formula1>=IF(L899&lt;&gt;"",INDIRECT(VLOOKUP(L899,ThangLuongData,3,FALSE)),"")</formula1>
    </dataValidation>
    <dataValidation type="list" sqref="N899" xr:uid="{556EAF70-7E8D-47BB-9EC5-215DBFFA102C}">
      <formula1>=IF(M899&lt;&gt;"",INDIRECT(VLOOKUP(M899,NgachLuongData,4,FALSE)),"")</formula1>
    </dataValidation>
    <dataValidation type="list" sqref="M900" xr:uid="{176E4C5B-7C57-4FE3-9A3A-A31D8EA28070}">
      <formula1>=IF(L900&lt;&gt;"",INDIRECT(VLOOKUP(L900,ThangLuongData,3,FALSE)),"")</formula1>
    </dataValidation>
    <dataValidation type="list" sqref="N900" xr:uid="{FA79257A-8873-491D-A303-4E0DF8C93A6F}">
      <formula1>=IF(M900&lt;&gt;"",INDIRECT(VLOOKUP(M900,NgachLuongData,4,FALSE)),"")</formula1>
    </dataValidation>
    <dataValidation type="list" sqref="M901" xr:uid="{E232DEEE-1339-49B3-BB2D-120A8E4EF48C}">
      <formula1>=IF(L901&lt;&gt;"",INDIRECT(VLOOKUP(L901,ThangLuongData,3,FALSE)),"")</formula1>
    </dataValidation>
    <dataValidation type="list" sqref="N901" xr:uid="{28B99BCF-9BC6-44CB-A26F-C25B5CA74BF9}">
      <formula1>=IF(M901&lt;&gt;"",INDIRECT(VLOOKUP(M901,NgachLuongData,4,FALSE)),"")</formula1>
    </dataValidation>
    <dataValidation type="list" sqref="M902" xr:uid="{313A3F26-45CA-4EA1-8B37-D8E67ADC34C3}">
      <formula1>=IF(L902&lt;&gt;"",INDIRECT(VLOOKUP(L902,ThangLuongData,3,FALSE)),"")</formula1>
    </dataValidation>
    <dataValidation type="list" sqref="N902" xr:uid="{86863154-01BC-45BF-83C8-79F86682F049}">
      <formula1>=IF(M902&lt;&gt;"",INDIRECT(VLOOKUP(M902,NgachLuongData,4,FALSE)),"")</formula1>
    </dataValidation>
    <dataValidation type="list" sqref="M903" xr:uid="{0AAFBD22-3226-47FB-8720-7AA07370CE37}">
      <formula1>=IF(L903&lt;&gt;"",INDIRECT(VLOOKUP(L903,ThangLuongData,3,FALSE)),"")</formula1>
    </dataValidation>
    <dataValidation type="list" sqref="N903" xr:uid="{7FD36B57-0236-4696-847E-9630C371756A}">
      <formula1>=IF(M903&lt;&gt;"",INDIRECT(VLOOKUP(M903,NgachLuongData,4,FALSE)),"")</formula1>
    </dataValidation>
    <dataValidation type="list" sqref="M904" xr:uid="{C87D3B66-8AE5-4166-8CA2-5BD9C1E65945}">
      <formula1>=IF(L904&lt;&gt;"",INDIRECT(VLOOKUP(L904,ThangLuongData,3,FALSE)),"")</formula1>
    </dataValidation>
    <dataValidation type="list" sqref="N904" xr:uid="{22A6A748-CFA3-41EE-8249-FB955AAECB2B}">
      <formula1>=IF(M904&lt;&gt;"",INDIRECT(VLOOKUP(M904,NgachLuongData,4,FALSE)),"")</formula1>
    </dataValidation>
    <dataValidation type="list" sqref="M905" xr:uid="{2824BFE9-1831-4C7E-A3D3-F29B0A51E8C1}">
      <formula1>=IF(L905&lt;&gt;"",INDIRECT(VLOOKUP(L905,ThangLuongData,3,FALSE)),"")</formula1>
    </dataValidation>
    <dataValidation type="list" sqref="N905" xr:uid="{E18A3F77-9DA1-4E4D-BA56-75D9CB2CF191}">
      <formula1>=IF(M905&lt;&gt;"",INDIRECT(VLOOKUP(M905,NgachLuongData,4,FALSE)),"")</formula1>
    </dataValidation>
    <dataValidation type="list" sqref="M906" xr:uid="{F1D04BEF-C899-4917-9C8B-634FE6F87B51}">
      <formula1>=IF(L906&lt;&gt;"",INDIRECT(VLOOKUP(L906,ThangLuongData,3,FALSE)),"")</formula1>
    </dataValidation>
    <dataValidation type="list" sqref="N906" xr:uid="{59C53E00-8842-409D-8699-D0B0558FF687}">
      <formula1>=IF(M906&lt;&gt;"",INDIRECT(VLOOKUP(M906,NgachLuongData,4,FALSE)),"")</formula1>
    </dataValidation>
    <dataValidation type="list" sqref="M907" xr:uid="{82E3890B-039F-4F8F-8034-6BA1575779B0}">
      <formula1>=IF(L907&lt;&gt;"",INDIRECT(VLOOKUP(L907,ThangLuongData,3,FALSE)),"")</formula1>
    </dataValidation>
    <dataValidation type="list" sqref="N907" xr:uid="{B43EE0B1-9CFA-400E-A579-851641F49B6B}">
      <formula1>=IF(M907&lt;&gt;"",INDIRECT(VLOOKUP(M907,NgachLuongData,4,FALSE)),"")</formula1>
    </dataValidation>
    <dataValidation type="list" sqref="M908" xr:uid="{F6729247-9EFB-4858-B8C0-DA6CBC1C8BFA}">
      <formula1>=IF(L908&lt;&gt;"",INDIRECT(VLOOKUP(L908,ThangLuongData,3,FALSE)),"")</formula1>
    </dataValidation>
    <dataValidation type="list" sqref="N908" xr:uid="{40F196CA-3E6D-4045-BEF8-63695677E009}">
      <formula1>=IF(M908&lt;&gt;"",INDIRECT(VLOOKUP(M908,NgachLuongData,4,FALSE)),"")</formula1>
    </dataValidation>
    <dataValidation type="list" sqref="M909" xr:uid="{28B4A617-041A-4C14-9F7E-3CFBA2E7547B}">
      <formula1>=IF(L909&lt;&gt;"",INDIRECT(VLOOKUP(L909,ThangLuongData,3,FALSE)),"")</formula1>
    </dataValidation>
    <dataValidation type="list" sqref="N909" xr:uid="{D763F135-F0DB-4BC6-B2BD-F06D8C017C8E}">
      <formula1>=IF(M909&lt;&gt;"",INDIRECT(VLOOKUP(M909,NgachLuongData,4,FALSE)),"")</formula1>
    </dataValidation>
    <dataValidation type="list" sqref="M910" xr:uid="{DDF45B62-83FF-47F8-B8B2-31DD1A0D9FFF}">
      <formula1>=IF(L910&lt;&gt;"",INDIRECT(VLOOKUP(L910,ThangLuongData,3,FALSE)),"")</formula1>
    </dataValidation>
    <dataValidation type="list" sqref="N910" xr:uid="{94DDA248-0D44-4070-B05D-BB6A6D5E688B}">
      <formula1>=IF(M910&lt;&gt;"",INDIRECT(VLOOKUP(M910,NgachLuongData,4,FALSE)),"")</formula1>
    </dataValidation>
    <dataValidation type="list" sqref="M911" xr:uid="{139C9701-6039-4924-8F58-6EBD9AB39501}">
      <formula1>=IF(L911&lt;&gt;"",INDIRECT(VLOOKUP(L911,ThangLuongData,3,FALSE)),"")</formula1>
    </dataValidation>
    <dataValidation type="list" sqref="N911" xr:uid="{BEF07468-8E0E-4EEB-9D8F-4E90584BCB89}">
      <formula1>=IF(M911&lt;&gt;"",INDIRECT(VLOOKUP(M911,NgachLuongData,4,FALSE)),"")</formula1>
    </dataValidation>
    <dataValidation type="list" sqref="M912" xr:uid="{E46367F8-F1AA-442E-9028-69979101EB94}">
      <formula1>=IF(L912&lt;&gt;"",INDIRECT(VLOOKUP(L912,ThangLuongData,3,FALSE)),"")</formula1>
    </dataValidation>
    <dataValidation type="list" sqref="N912" xr:uid="{838371E6-034F-4418-8D76-1C76CBEA4E77}">
      <formula1>=IF(M912&lt;&gt;"",INDIRECT(VLOOKUP(M912,NgachLuongData,4,FALSE)),"")</formula1>
    </dataValidation>
    <dataValidation type="list" sqref="M913" xr:uid="{FDA0C8E0-CC8F-4C6E-9ECB-06D4D4B2B7B4}">
      <formula1>=IF(L913&lt;&gt;"",INDIRECT(VLOOKUP(L913,ThangLuongData,3,FALSE)),"")</formula1>
    </dataValidation>
    <dataValidation type="list" sqref="N913" xr:uid="{C8AF5CEA-F64E-43B2-B62C-2803EEDA43F8}">
      <formula1>=IF(M913&lt;&gt;"",INDIRECT(VLOOKUP(M913,NgachLuongData,4,FALSE)),"")</formula1>
    </dataValidation>
    <dataValidation type="list" sqref="M914" xr:uid="{53DE6FDD-37C4-43DE-B8A5-3B9B7393CBB1}">
      <formula1>=IF(L914&lt;&gt;"",INDIRECT(VLOOKUP(L914,ThangLuongData,3,FALSE)),"")</formula1>
    </dataValidation>
    <dataValidation type="list" sqref="N914" xr:uid="{0103BDD4-8712-4842-91EE-3765F5A3EE52}">
      <formula1>=IF(M914&lt;&gt;"",INDIRECT(VLOOKUP(M914,NgachLuongData,4,FALSE)),"")</formula1>
    </dataValidation>
    <dataValidation type="list" sqref="M915" xr:uid="{F904A757-2F25-421A-A8C4-031A8D29D206}">
      <formula1>=IF(L915&lt;&gt;"",INDIRECT(VLOOKUP(L915,ThangLuongData,3,FALSE)),"")</formula1>
    </dataValidation>
    <dataValidation type="list" sqref="N915" xr:uid="{681E85BD-858C-4176-9C88-B7BBA52384C8}">
      <formula1>=IF(M915&lt;&gt;"",INDIRECT(VLOOKUP(M915,NgachLuongData,4,FALSE)),"")</formula1>
    </dataValidation>
    <dataValidation type="list" sqref="M916" xr:uid="{F5ADB2F7-EAC5-4F66-A7CE-BFCEF5A12813}">
      <formula1>=IF(L916&lt;&gt;"",INDIRECT(VLOOKUP(L916,ThangLuongData,3,FALSE)),"")</formula1>
    </dataValidation>
    <dataValidation type="list" sqref="N916" xr:uid="{E7E58195-2D95-4FF5-99C2-9F9980BEA0BF}">
      <formula1>=IF(M916&lt;&gt;"",INDIRECT(VLOOKUP(M916,NgachLuongData,4,FALSE)),"")</formula1>
    </dataValidation>
    <dataValidation type="list" sqref="M917" xr:uid="{D31A4F09-5A36-4E2E-BBA6-9366677EF5FE}">
      <formula1>=IF(L917&lt;&gt;"",INDIRECT(VLOOKUP(L917,ThangLuongData,3,FALSE)),"")</formula1>
    </dataValidation>
    <dataValidation type="list" sqref="N917" xr:uid="{B8BB8E20-92D7-40D8-B280-49157BF34848}">
      <formula1>=IF(M917&lt;&gt;"",INDIRECT(VLOOKUP(M917,NgachLuongData,4,FALSE)),"")</formula1>
    </dataValidation>
    <dataValidation type="list" sqref="M918" xr:uid="{E57CD48B-F14E-455A-A225-9723E5803976}">
      <formula1>=IF(L918&lt;&gt;"",INDIRECT(VLOOKUP(L918,ThangLuongData,3,FALSE)),"")</formula1>
    </dataValidation>
    <dataValidation type="list" sqref="N918" xr:uid="{91D67E71-11A4-4EAE-90AE-04E05F292244}">
      <formula1>=IF(M918&lt;&gt;"",INDIRECT(VLOOKUP(M918,NgachLuongData,4,FALSE)),"")</formula1>
    </dataValidation>
    <dataValidation type="list" sqref="M919" xr:uid="{ED718B38-5FD9-4F80-AE36-23A8BAFBD4CF}">
      <formula1>=IF(L919&lt;&gt;"",INDIRECT(VLOOKUP(L919,ThangLuongData,3,FALSE)),"")</formula1>
    </dataValidation>
    <dataValidation type="list" sqref="N919" xr:uid="{90A28C30-FF5D-41BA-AA74-9FB4D2028FE3}">
      <formula1>=IF(M919&lt;&gt;"",INDIRECT(VLOOKUP(M919,NgachLuongData,4,FALSE)),"")</formula1>
    </dataValidation>
    <dataValidation type="list" sqref="M920" xr:uid="{F9736D72-D6F8-4C01-9EAB-20F97384F0D1}">
      <formula1>=IF(L920&lt;&gt;"",INDIRECT(VLOOKUP(L920,ThangLuongData,3,FALSE)),"")</formula1>
    </dataValidation>
    <dataValidation type="list" sqref="N920" xr:uid="{8B79C1CC-EC05-4955-9AED-D999C3FEAFC3}">
      <formula1>=IF(M920&lt;&gt;"",INDIRECT(VLOOKUP(M920,NgachLuongData,4,FALSE)),"")</formula1>
    </dataValidation>
    <dataValidation type="list" sqref="M921" xr:uid="{654E1789-4BAB-4D04-9E4C-4A0C3AC7C7ED}">
      <formula1>=IF(L921&lt;&gt;"",INDIRECT(VLOOKUP(L921,ThangLuongData,3,FALSE)),"")</formula1>
    </dataValidation>
    <dataValidation type="list" sqref="N921" xr:uid="{9060F396-D88D-424C-9B77-2FED2BB20006}">
      <formula1>=IF(M921&lt;&gt;"",INDIRECT(VLOOKUP(M921,NgachLuongData,4,FALSE)),"")</formula1>
    </dataValidation>
    <dataValidation type="list" sqref="M922" xr:uid="{56FD29C4-E79D-4A4B-8C51-EDD4AA1A5211}">
      <formula1>=IF(L922&lt;&gt;"",INDIRECT(VLOOKUP(L922,ThangLuongData,3,FALSE)),"")</formula1>
    </dataValidation>
    <dataValidation type="list" sqref="N922" xr:uid="{BAA6DB53-41CD-4C61-9712-AEC37C93ECBD}">
      <formula1>=IF(M922&lt;&gt;"",INDIRECT(VLOOKUP(M922,NgachLuongData,4,FALSE)),"")</formula1>
    </dataValidation>
    <dataValidation type="list" sqref="M923" xr:uid="{B8E179B1-A9AC-4587-9DD8-7A382A19652F}">
      <formula1>=IF(L923&lt;&gt;"",INDIRECT(VLOOKUP(L923,ThangLuongData,3,FALSE)),"")</formula1>
    </dataValidation>
    <dataValidation type="list" sqref="N923" xr:uid="{CD66806D-8F73-4A39-A43F-63364D3614F7}">
      <formula1>=IF(M923&lt;&gt;"",INDIRECT(VLOOKUP(M923,NgachLuongData,4,FALSE)),"")</formula1>
    </dataValidation>
    <dataValidation type="list" sqref="M924" xr:uid="{83580C01-AC7B-43C0-9F4E-9CEAB41D36FA}">
      <formula1>=IF(L924&lt;&gt;"",INDIRECT(VLOOKUP(L924,ThangLuongData,3,FALSE)),"")</formula1>
    </dataValidation>
    <dataValidation type="list" sqref="N924" xr:uid="{E6878FA7-463E-4007-B5A5-D10019C0F96C}">
      <formula1>=IF(M924&lt;&gt;"",INDIRECT(VLOOKUP(M924,NgachLuongData,4,FALSE)),"")</formula1>
    </dataValidation>
    <dataValidation type="list" sqref="M925" xr:uid="{16B97B0A-D178-4F62-A734-4B0F3A433F68}">
      <formula1>=IF(L925&lt;&gt;"",INDIRECT(VLOOKUP(L925,ThangLuongData,3,FALSE)),"")</formula1>
    </dataValidation>
    <dataValidation type="list" sqref="N925" xr:uid="{82A83100-2DFA-49D6-8C0F-C9B782452AAB}">
      <formula1>=IF(M925&lt;&gt;"",INDIRECT(VLOOKUP(M925,NgachLuongData,4,FALSE)),"")</formula1>
    </dataValidation>
    <dataValidation type="list" sqref="M926" xr:uid="{3BD339F5-C288-4B13-B55F-459F7919CEA6}">
      <formula1>=IF(L926&lt;&gt;"",INDIRECT(VLOOKUP(L926,ThangLuongData,3,FALSE)),"")</formula1>
    </dataValidation>
    <dataValidation type="list" sqref="N926" xr:uid="{BEF82F61-8426-41FD-9FC6-DA57601F49A0}">
      <formula1>=IF(M926&lt;&gt;"",INDIRECT(VLOOKUP(M926,NgachLuongData,4,FALSE)),"")</formula1>
    </dataValidation>
    <dataValidation type="list" sqref="M927" xr:uid="{FF7BF718-D55D-47D2-8510-91BEF4CF3A6A}">
      <formula1>=IF(L927&lt;&gt;"",INDIRECT(VLOOKUP(L927,ThangLuongData,3,FALSE)),"")</formula1>
    </dataValidation>
    <dataValidation type="list" sqref="N927" xr:uid="{951E8AA6-AB8D-4A33-8F27-A279C4794ED5}">
      <formula1>=IF(M927&lt;&gt;"",INDIRECT(VLOOKUP(M927,NgachLuongData,4,FALSE)),"")</formula1>
    </dataValidation>
    <dataValidation type="list" sqref="M928" xr:uid="{DB8CD162-FAB7-442A-AF06-0DD9C2EBF0C6}">
      <formula1>=IF(L928&lt;&gt;"",INDIRECT(VLOOKUP(L928,ThangLuongData,3,FALSE)),"")</formula1>
    </dataValidation>
    <dataValidation type="list" sqref="N928" xr:uid="{762A3B4B-8504-4F34-BF83-41B8D1BC47C3}">
      <formula1>=IF(M928&lt;&gt;"",INDIRECT(VLOOKUP(M928,NgachLuongData,4,FALSE)),"")</formula1>
    </dataValidation>
    <dataValidation type="list" sqref="M929" xr:uid="{60149E75-546D-4BB1-A98A-508FF9FF7F64}">
      <formula1>=IF(L929&lt;&gt;"",INDIRECT(VLOOKUP(L929,ThangLuongData,3,FALSE)),"")</formula1>
    </dataValidation>
    <dataValidation type="list" sqref="N929" xr:uid="{CD43DB3A-B8E9-419E-9206-E516235971F6}">
      <formula1>=IF(M929&lt;&gt;"",INDIRECT(VLOOKUP(M929,NgachLuongData,4,FALSE)),"")</formula1>
    </dataValidation>
    <dataValidation type="list" sqref="M930" xr:uid="{74C30BBB-B097-421D-B2F7-3A27D18A36CF}">
      <formula1>=IF(L930&lt;&gt;"",INDIRECT(VLOOKUP(L930,ThangLuongData,3,FALSE)),"")</formula1>
    </dataValidation>
    <dataValidation type="list" sqref="N930" xr:uid="{6DCE95EF-35DC-4B29-B9B8-B7982A3839BD}">
      <formula1>=IF(M930&lt;&gt;"",INDIRECT(VLOOKUP(M930,NgachLuongData,4,FALSE)),"")</formula1>
    </dataValidation>
    <dataValidation type="list" sqref="M931" xr:uid="{56C8E544-03DE-49FB-990D-A0CC28C9EE0E}">
      <formula1>=IF(L931&lt;&gt;"",INDIRECT(VLOOKUP(L931,ThangLuongData,3,FALSE)),"")</formula1>
    </dataValidation>
    <dataValidation type="list" sqref="N931" xr:uid="{43B43450-03CC-421D-96AF-B324D20C1D27}">
      <formula1>=IF(M931&lt;&gt;"",INDIRECT(VLOOKUP(M931,NgachLuongData,4,FALSE)),"")</formula1>
    </dataValidation>
    <dataValidation type="list" sqref="M932" xr:uid="{B97BB66D-EF37-47DB-8533-88B63E30AC3C}">
      <formula1>=IF(L932&lt;&gt;"",INDIRECT(VLOOKUP(L932,ThangLuongData,3,FALSE)),"")</formula1>
    </dataValidation>
    <dataValidation type="list" sqref="N932" xr:uid="{407977A9-56C9-4229-BDF2-FD97A185D906}">
      <formula1>=IF(M932&lt;&gt;"",INDIRECT(VLOOKUP(M932,NgachLuongData,4,FALSE)),"")</formula1>
    </dataValidation>
    <dataValidation type="list" sqref="M933" xr:uid="{85101306-01B4-4556-BB0D-09D4FB81D6DB}">
      <formula1>=IF(L933&lt;&gt;"",INDIRECT(VLOOKUP(L933,ThangLuongData,3,FALSE)),"")</formula1>
    </dataValidation>
    <dataValidation type="list" sqref="N933" xr:uid="{F6292EE6-4899-491B-B293-D4C11A512BF2}">
      <formula1>=IF(M933&lt;&gt;"",INDIRECT(VLOOKUP(M933,NgachLuongData,4,FALSE)),"")</formula1>
    </dataValidation>
    <dataValidation type="list" sqref="M934" xr:uid="{E8481D92-2976-4EA8-A39A-4330C8EF4B59}">
      <formula1>=IF(L934&lt;&gt;"",INDIRECT(VLOOKUP(L934,ThangLuongData,3,FALSE)),"")</formula1>
    </dataValidation>
    <dataValidation type="list" sqref="N934" xr:uid="{2A9A52D6-B622-478A-BAA9-6ACFBC081D98}">
      <formula1>=IF(M934&lt;&gt;"",INDIRECT(VLOOKUP(M934,NgachLuongData,4,FALSE)),"")</formula1>
    </dataValidation>
    <dataValidation type="list" sqref="M935" xr:uid="{2B35797A-CBCB-4988-A0FC-F4A5D084B537}">
      <formula1>=IF(L935&lt;&gt;"",INDIRECT(VLOOKUP(L935,ThangLuongData,3,FALSE)),"")</formula1>
    </dataValidation>
    <dataValidation type="list" sqref="N935" xr:uid="{83E6DE19-E95E-4E8D-8251-733AB430D82E}">
      <formula1>=IF(M935&lt;&gt;"",INDIRECT(VLOOKUP(M935,NgachLuongData,4,FALSE)),"")</formula1>
    </dataValidation>
    <dataValidation type="list" sqref="M936" xr:uid="{049AB04E-01EF-415D-8CC6-4310607EF1CD}">
      <formula1>=IF(L936&lt;&gt;"",INDIRECT(VLOOKUP(L936,ThangLuongData,3,FALSE)),"")</formula1>
    </dataValidation>
    <dataValidation type="list" sqref="N936" xr:uid="{A44AFEF0-1F0C-48A3-B1E9-F1D2AFCA2939}">
      <formula1>=IF(M936&lt;&gt;"",INDIRECT(VLOOKUP(M936,NgachLuongData,4,FALSE)),"")</formula1>
    </dataValidation>
    <dataValidation type="list" sqref="M937" xr:uid="{2FEE6718-1924-47AD-920D-1D200286B8DB}">
      <formula1>=IF(L937&lt;&gt;"",INDIRECT(VLOOKUP(L937,ThangLuongData,3,FALSE)),"")</formula1>
    </dataValidation>
    <dataValidation type="list" sqref="N937" xr:uid="{5049453B-2EF9-4C3C-B5A6-6C0481519D79}">
      <formula1>=IF(M937&lt;&gt;"",INDIRECT(VLOOKUP(M937,NgachLuongData,4,FALSE)),"")</formula1>
    </dataValidation>
    <dataValidation type="list" sqref="M938" xr:uid="{C659994C-BC91-4C98-99D4-BA1B0973042C}">
      <formula1>=IF(L938&lt;&gt;"",INDIRECT(VLOOKUP(L938,ThangLuongData,3,FALSE)),"")</formula1>
    </dataValidation>
    <dataValidation type="list" sqref="N938" xr:uid="{84ED225D-6FB4-4CCD-B9BF-5DEEEA91766B}">
      <formula1>=IF(M938&lt;&gt;"",INDIRECT(VLOOKUP(M938,NgachLuongData,4,FALSE)),"")</formula1>
    </dataValidation>
    <dataValidation type="list" sqref="M939" xr:uid="{1E15CEB5-38EF-4B08-840C-07711CE51081}">
      <formula1>=IF(L939&lt;&gt;"",INDIRECT(VLOOKUP(L939,ThangLuongData,3,FALSE)),"")</formula1>
    </dataValidation>
    <dataValidation type="list" sqref="N939" xr:uid="{D3CEC1E1-38A3-4BFE-B994-47B14E5DAB1C}">
      <formula1>=IF(M939&lt;&gt;"",INDIRECT(VLOOKUP(M939,NgachLuongData,4,FALSE)),"")</formula1>
    </dataValidation>
    <dataValidation type="list" sqref="M940" xr:uid="{A0173C85-300D-480A-B256-B09316CB3C13}">
      <formula1>=IF(L940&lt;&gt;"",INDIRECT(VLOOKUP(L940,ThangLuongData,3,FALSE)),"")</formula1>
    </dataValidation>
    <dataValidation type="list" sqref="N940" xr:uid="{F917B69E-9D0B-4524-9A42-93F2F76187CA}">
      <formula1>=IF(M940&lt;&gt;"",INDIRECT(VLOOKUP(M940,NgachLuongData,4,FALSE)),"")</formula1>
    </dataValidation>
    <dataValidation type="list" sqref="M941" xr:uid="{888210D9-6A79-4A7A-9D61-EF6963BEEE1B}">
      <formula1>=IF(L941&lt;&gt;"",INDIRECT(VLOOKUP(L941,ThangLuongData,3,FALSE)),"")</formula1>
    </dataValidation>
    <dataValidation type="list" sqref="N941" xr:uid="{F5E03E3E-0D51-4DBA-AE5C-12049B71839B}">
      <formula1>=IF(M941&lt;&gt;"",INDIRECT(VLOOKUP(M941,NgachLuongData,4,FALSE)),"")</formula1>
    </dataValidation>
    <dataValidation type="list" sqref="M942" xr:uid="{645237AC-824E-437E-B16A-D19F9712DB55}">
      <formula1>=IF(L942&lt;&gt;"",INDIRECT(VLOOKUP(L942,ThangLuongData,3,FALSE)),"")</formula1>
    </dataValidation>
    <dataValidation type="list" sqref="N942" xr:uid="{3D4EDB5A-4365-442E-855E-31A4BDCEC32A}">
      <formula1>=IF(M942&lt;&gt;"",INDIRECT(VLOOKUP(M942,NgachLuongData,4,FALSE)),"")</formula1>
    </dataValidation>
    <dataValidation type="list" sqref="M943" xr:uid="{93F00E37-E4AB-42B6-AEC0-C3FEB41DA86D}">
      <formula1>=IF(L943&lt;&gt;"",INDIRECT(VLOOKUP(L943,ThangLuongData,3,FALSE)),"")</formula1>
    </dataValidation>
    <dataValidation type="list" sqref="N943" xr:uid="{A155F6AD-4AE6-4B93-B73D-E7A20B8682DE}">
      <formula1>=IF(M943&lt;&gt;"",INDIRECT(VLOOKUP(M943,NgachLuongData,4,FALSE)),"")</formula1>
    </dataValidation>
    <dataValidation type="list" sqref="M944" xr:uid="{FDCD4C51-2BD2-4468-836D-0DC63FE2BDBD}">
      <formula1>=IF(L944&lt;&gt;"",INDIRECT(VLOOKUP(L944,ThangLuongData,3,FALSE)),"")</formula1>
    </dataValidation>
    <dataValidation type="list" sqref="N944" xr:uid="{DD841DFB-7678-48F2-B280-93FB59C258ED}">
      <formula1>=IF(M944&lt;&gt;"",INDIRECT(VLOOKUP(M944,NgachLuongData,4,FALSE)),"")</formula1>
    </dataValidation>
    <dataValidation type="list" sqref="M945" xr:uid="{76404F57-ED30-4AF1-9B3D-03150EAD03B3}">
      <formula1>=IF(L945&lt;&gt;"",INDIRECT(VLOOKUP(L945,ThangLuongData,3,FALSE)),"")</formula1>
    </dataValidation>
    <dataValidation type="list" sqref="N945" xr:uid="{527BC8A8-317C-4510-9A0B-D71537A3982D}">
      <formula1>=IF(M945&lt;&gt;"",INDIRECT(VLOOKUP(M945,NgachLuongData,4,FALSE)),"")</formula1>
    </dataValidation>
    <dataValidation type="list" sqref="M946" xr:uid="{6A0D7D85-9D69-4CC9-8919-AC68D34F4E97}">
      <formula1>=IF(L946&lt;&gt;"",INDIRECT(VLOOKUP(L946,ThangLuongData,3,FALSE)),"")</formula1>
    </dataValidation>
    <dataValidation type="list" sqref="N946" xr:uid="{F7497006-DC1D-4F29-9FD2-61D4608FD170}">
      <formula1>=IF(M946&lt;&gt;"",INDIRECT(VLOOKUP(M946,NgachLuongData,4,FALSE)),"")</formula1>
    </dataValidation>
    <dataValidation type="list" sqref="M947" xr:uid="{A538D3FA-92FD-45B9-B5F1-7D780A88417F}">
      <formula1>=IF(L947&lt;&gt;"",INDIRECT(VLOOKUP(L947,ThangLuongData,3,FALSE)),"")</formula1>
    </dataValidation>
    <dataValidation type="list" sqref="N947" xr:uid="{453171A7-A93C-4045-BF24-9A9F7C4785A8}">
      <formula1>=IF(M947&lt;&gt;"",INDIRECT(VLOOKUP(M947,NgachLuongData,4,FALSE)),"")</formula1>
    </dataValidation>
    <dataValidation type="list" sqref="M948" xr:uid="{D1651A67-7330-495C-8A43-2745410B35C3}">
      <formula1>=IF(L948&lt;&gt;"",INDIRECT(VLOOKUP(L948,ThangLuongData,3,FALSE)),"")</formula1>
    </dataValidation>
    <dataValidation type="list" sqref="N948" xr:uid="{BA5723FC-F3F7-4F47-A94C-F5823E036BCF}">
      <formula1>=IF(M948&lt;&gt;"",INDIRECT(VLOOKUP(M948,NgachLuongData,4,FALSE)),"")</formula1>
    </dataValidation>
    <dataValidation type="list" sqref="M949" xr:uid="{36C12FB6-B2D5-4507-BB6C-E27E34BF7726}">
      <formula1>=IF(L949&lt;&gt;"",INDIRECT(VLOOKUP(L949,ThangLuongData,3,FALSE)),"")</formula1>
    </dataValidation>
    <dataValidation type="list" sqref="N949" xr:uid="{978D4312-881E-48B8-8084-816D0C2AA27D}">
      <formula1>=IF(M949&lt;&gt;"",INDIRECT(VLOOKUP(M949,NgachLuongData,4,FALSE)),"")</formula1>
    </dataValidation>
    <dataValidation type="list" sqref="M950" xr:uid="{4F137F44-BBD7-4AAF-A40A-BB1078896708}">
      <formula1>=IF(L950&lt;&gt;"",INDIRECT(VLOOKUP(L950,ThangLuongData,3,FALSE)),"")</formula1>
    </dataValidation>
    <dataValidation type="list" sqref="N950" xr:uid="{9E5EFE7A-8BCB-470E-99CB-D43F7191E001}">
      <formula1>=IF(M950&lt;&gt;"",INDIRECT(VLOOKUP(M950,NgachLuongData,4,FALSE)),"")</formula1>
    </dataValidation>
    <dataValidation type="list" sqref="M951" xr:uid="{D1059BA6-F009-4130-9706-A906A735A62B}">
      <formula1>=IF(L951&lt;&gt;"",INDIRECT(VLOOKUP(L951,ThangLuongData,3,FALSE)),"")</formula1>
    </dataValidation>
    <dataValidation type="list" sqref="N951" xr:uid="{41761698-2AC6-4A54-9A98-94AD07A93FFA}">
      <formula1>=IF(M951&lt;&gt;"",INDIRECT(VLOOKUP(M951,NgachLuongData,4,FALSE)),"")</formula1>
    </dataValidation>
    <dataValidation type="list" sqref="M952" xr:uid="{C30604DD-E89A-464C-BE3C-1ED8E2DD07B6}">
      <formula1>=IF(L952&lt;&gt;"",INDIRECT(VLOOKUP(L952,ThangLuongData,3,FALSE)),"")</formula1>
    </dataValidation>
    <dataValidation type="list" sqref="N952" xr:uid="{B5BB7BFD-1F56-425E-A2B2-768235326D39}">
      <formula1>=IF(M952&lt;&gt;"",INDIRECT(VLOOKUP(M952,NgachLuongData,4,FALSE)),"")</formula1>
    </dataValidation>
    <dataValidation type="list" sqref="M953" xr:uid="{1B17446B-4C76-4472-AD03-492D435A725B}">
      <formula1>=IF(L953&lt;&gt;"",INDIRECT(VLOOKUP(L953,ThangLuongData,3,FALSE)),"")</formula1>
    </dataValidation>
    <dataValidation type="list" sqref="N953" xr:uid="{174E0A3A-81F0-4973-B343-EDCD0AA82E49}">
      <formula1>=IF(M953&lt;&gt;"",INDIRECT(VLOOKUP(M953,NgachLuongData,4,FALSE)),"")</formula1>
    </dataValidation>
    <dataValidation type="list" sqref="M954" xr:uid="{958BB0D4-4A9D-45F1-9BAA-F7C54E6CE1EF}">
      <formula1>=IF(L954&lt;&gt;"",INDIRECT(VLOOKUP(L954,ThangLuongData,3,FALSE)),"")</formula1>
    </dataValidation>
    <dataValidation type="list" sqref="N954" xr:uid="{98EEFE92-8705-43CB-8372-3F26C59CB1B3}">
      <formula1>=IF(M954&lt;&gt;"",INDIRECT(VLOOKUP(M954,NgachLuongData,4,FALSE)),"")</formula1>
    </dataValidation>
    <dataValidation type="list" sqref="M955" xr:uid="{CAC94E5A-1B68-4C13-A8CE-CEB95548311E}">
      <formula1>=IF(L955&lt;&gt;"",INDIRECT(VLOOKUP(L955,ThangLuongData,3,FALSE)),"")</formula1>
    </dataValidation>
    <dataValidation type="list" sqref="N955" xr:uid="{ED452DBD-3DA4-4E66-A656-FF83B500F1A6}">
      <formula1>=IF(M955&lt;&gt;"",INDIRECT(VLOOKUP(M955,NgachLuongData,4,FALSE)),"")</formula1>
    </dataValidation>
    <dataValidation type="list" sqref="M956" xr:uid="{85C5AC5B-2DEF-4E46-A456-8F3B97C65698}">
      <formula1>=IF(L956&lt;&gt;"",INDIRECT(VLOOKUP(L956,ThangLuongData,3,FALSE)),"")</formula1>
    </dataValidation>
    <dataValidation type="list" sqref="N956" xr:uid="{DD582DBC-C9AE-4ED1-8A0C-959D76E70AF3}">
      <formula1>=IF(M956&lt;&gt;"",INDIRECT(VLOOKUP(M956,NgachLuongData,4,FALSE)),"")</formula1>
    </dataValidation>
    <dataValidation type="list" sqref="M957" xr:uid="{B9B20FCC-A0A9-4F66-AD7C-475B4C359EEB}">
      <formula1>=IF(L957&lt;&gt;"",INDIRECT(VLOOKUP(L957,ThangLuongData,3,FALSE)),"")</formula1>
    </dataValidation>
    <dataValidation type="list" sqref="N957" xr:uid="{AC39BE59-1B68-47C3-8195-5661E2DA364A}">
      <formula1>=IF(M957&lt;&gt;"",INDIRECT(VLOOKUP(M957,NgachLuongData,4,FALSE)),"")</formula1>
    </dataValidation>
    <dataValidation type="list" sqref="M958" xr:uid="{8FC2973D-066A-448C-B6E2-6D8CD678E014}">
      <formula1>=IF(L958&lt;&gt;"",INDIRECT(VLOOKUP(L958,ThangLuongData,3,FALSE)),"")</formula1>
    </dataValidation>
    <dataValidation type="list" sqref="N958" xr:uid="{F4982BF9-CB19-4E2E-A039-993C44E548CE}">
      <formula1>=IF(M958&lt;&gt;"",INDIRECT(VLOOKUP(M958,NgachLuongData,4,FALSE)),"")</formula1>
    </dataValidation>
    <dataValidation type="list" sqref="M959" xr:uid="{67BA2FA0-00B5-422A-B006-5E12E2672DB5}">
      <formula1>=IF(L959&lt;&gt;"",INDIRECT(VLOOKUP(L959,ThangLuongData,3,FALSE)),"")</formula1>
    </dataValidation>
    <dataValidation type="list" sqref="N959" xr:uid="{82EB6904-55A1-4572-B228-2B7625B0109A}">
      <formula1>=IF(M959&lt;&gt;"",INDIRECT(VLOOKUP(M959,NgachLuongData,4,FALSE)),"")</formula1>
    </dataValidation>
    <dataValidation type="list" sqref="M960" xr:uid="{1503B7E8-2BA7-422D-B48D-85FBA416AA22}">
      <formula1>=IF(L960&lt;&gt;"",INDIRECT(VLOOKUP(L960,ThangLuongData,3,FALSE)),"")</formula1>
    </dataValidation>
    <dataValidation type="list" sqref="N960" xr:uid="{DFC638A1-4C00-4032-9EE7-20767DFA0093}">
      <formula1>=IF(M960&lt;&gt;"",INDIRECT(VLOOKUP(M960,NgachLuongData,4,FALSE)),"")</formula1>
    </dataValidation>
    <dataValidation type="list" sqref="M961" xr:uid="{0BBA4043-80A6-496B-8943-D700E1430A55}">
      <formula1>=IF(L961&lt;&gt;"",INDIRECT(VLOOKUP(L961,ThangLuongData,3,FALSE)),"")</formula1>
    </dataValidation>
    <dataValidation type="list" sqref="N961" xr:uid="{A7F6DDB3-D1FA-4480-B630-EEEE70212BA9}">
      <formula1>=IF(M961&lt;&gt;"",INDIRECT(VLOOKUP(M961,NgachLuongData,4,FALSE)),"")</formula1>
    </dataValidation>
    <dataValidation type="list" sqref="M962" xr:uid="{92364B85-A942-4FE4-B749-852E6CF3039A}">
      <formula1>=IF(L962&lt;&gt;"",INDIRECT(VLOOKUP(L962,ThangLuongData,3,FALSE)),"")</formula1>
    </dataValidation>
    <dataValidation type="list" sqref="N962" xr:uid="{FF29B7A3-5F20-4B63-9AAB-394CC1FEDFD8}">
      <formula1>=IF(M962&lt;&gt;"",INDIRECT(VLOOKUP(M962,NgachLuongData,4,FALSE)),"")</formula1>
    </dataValidation>
    <dataValidation type="list" sqref="M963" xr:uid="{E54496A7-8976-495B-905D-67D8BAAC0ED7}">
      <formula1>=IF(L963&lt;&gt;"",INDIRECT(VLOOKUP(L963,ThangLuongData,3,FALSE)),"")</formula1>
    </dataValidation>
    <dataValidation type="list" sqref="N963" xr:uid="{CF65B253-CE3B-4374-BA8D-B2B02804D589}">
      <formula1>=IF(M963&lt;&gt;"",INDIRECT(VLOOKUP(M963,NgachLuongData,4,FALSE)),"")</formula1>
    </dataValidation>
    <dataValidation type="list" sqref="M964" xr:uid="{5DE2F1F1-2DEF-4AAD-A07D-AE3E2B673BC7}">
      <formula1>=IF(L964&lt;&gt;"",INDIRECT(VLOOKUP(L964,ThangLuongData,3,FALSE)),"")</formula1>
    </dataValidation>
    <dataValidation type="list" sqref="N964" xr:uid="{64AA93B3-7D52-4C90-98D8-BA8B77E4C269}">
      <formula1>=IF(M964&lt;&gt;"",INDIRECT(VLOOKUP(M964,NgachLuongData,4,FALSE)),"")</formula1>
    </dataValidation>
    <dataValidation type="list" sqref="M965" xr:uid="{842CCD84-582B-4F19-92A1-8DD48B531F1A}">
      <formula1>=IF(L965&lt;&gt;"",INDIRECT(VLOOKUP(L965,ThangLuongData,3,FALSE)),"")</formula1>
    </dataValidation>
    <dataValidation type="list" sqref="N965" xr:uid="{56934E22-668C-496A-BA47-67969C3AA30C}">
      <formula1>=IF(M965&lt;&gt;"",INDIRECT(VLOOKUP(M965,NgachLuongData,4,FALSE)),"")</formula1>
    </dataValidation>
    <dataValidation type="list" sqref="M966" xr:uid="{36326A07-29AB-4C29-A146-9C9A67F67700}">
      <formula1>=IF(L966&lt;&gt;"",INDIRECT(VLOOKUP(L966,ThangLuongData,3,FALSE)),"")</formula1>
    </dataValidation>
    <dataValidation type="list" sqref="N966" xr:uid="{287EE513-06AE-410A-821B-64D307BEF3BE}">
      <formula1>=IF(M966&lt;&gt;"",INDIRECT(VLOOKUP(M966,NgachLuongData,4,FALSE)),"")</formula1>
    </dataValidation>
    <dataValidation type="list" sqref="M967" xr:uid="{49D64EAD-245A-419A-A475-75A3DAA2196F}">
      <formula1>=IF(L967&lt;&gt;"",INDIRECT(VLOOKUP(L967,ThangLuongData,3,FALSE)),"")</formula1>
    </dataValidation>
    <dataValidation type="list" sqref="N967" xr:uid="{4DC3E0C1-C0E8-41C5-9327-102BCBFDEDD2}">
      <formula1>=IF(M967&lt;&gt;"",INDIRECT(VLOOKUP(M967,NgachLuongData,4,FALSE)),"")</formula1>
    </dataValidation>
    <dataValidation type="list" sqref="M968" xr:uid="{079490A7-DC83-4779-96F4-8E3B64996D43}">
      <formula1>=IF(L968&lt;&gt;"",INDIRECT(VLOOKUP(L968,ThangLuongData,3,FALSE)),"")</formula1>
    </dataValidation>
    <dataValidation type="list" sqref="N968" xr:uid="{57CD877E-B25C-4898-9B34-440015299934}">
      <formula1>=IF(M968&lt;&gt;"",INDIRECT(VLOOKUP(M968,NgachLuongData,4,FALSE)),"")</formula1>
    </dataValidation>
    <dataValidation type="list" sqref="M969" xr:uid="{F92F9E9C-2A95-4211-90E9-93A648971731}">
      <formula1>=IF(L969&lt;&gt;"",INDIRECT(VLOOKUP(L969,ThangLuongData,3,FALSE)),"")</formula1>
    </dataValidation>
    <dataValidation type="list" sqref="N969" xr:uid="{EF63D40E-2950-4B24-B3E6-605052D1877E}">
      <formula1>=IF(M969&lt;&gt;"",INDIRECT(VLOOKUP(M969,NgachLuongData,4,FALSE)),"")</formula1>
    </dataValidation>
    <dataValidation type="list" sqref="M970" xr:uid="{0B15C4EA-A20C-4D5C-9594-56608BF7E8C4}">
      <formula1>=IF(L970&lt;&gt;"",INDIRECT(VLOOKUP(L970,ThangLuongData,3,FALSE)),"")</formula1>
    </dataValidation>
    <dataValidation type="list" sqref="N970" xr:uid="{37479C42-1EB7-4D84-8352-7AFA4F45A1EB}">
      <formula1>=IF(M970&lt;&gt;"",INDIRECT(VLOOKUP(M970,NgachLuongData,4,FALSE)),"")</formula1>
    </dataValidation>
    <dataValidation type="list" sqref="M971" xr:uid="{C675427C-0CA1-4EF9-AE89-10966ABA2A60}">
      <formula1>=IF(L971&lt;&gt;"",INDIRECT(VLOOKUP(L971,ThangLuongData,3,FALSE)),"")</formula1>
    </dataValidation>
    <dataValidation type="list" sqref="N971" xr:uid="{3C481994-CB58-4713-A15E-5B5DC6E83BB2}">
      <formula1>=IF(M971&lt;&gt;"",INDIRECT(VLOOKUP(M971,NgachLuongData,4,FALSE)),"")</formula1>
    </dataValidation>
    <dataValidation type="list" sqref="M972" xr:uid="{FB1C63E3-2853-4C39-993A-9D2723A53BD9}">
      <formula1>=IF(L972&lt;&gt;"",INDIRECT(VLOOKUP(L972,ThangLuongData,3,FALSE)),"")</formula1>
    </dataValidation>
    <dataValidation type="list" sqref="N972" xr:uid="{DAE2D30D-3A5F-4617-A3F0-E1290A0652B9}">
      <formula1>=IF(M972&lt;&gt;"",INDIRECT(VLOOKUP(M972,NgachLuongData,4,FALSE)),"")</formula1>
    </dataValidation>
    <dataValidation type="list" sqref="M973" xr:uid="{16DB9A93-75C7-42AB-B340-3037568A5607}">
      <formula1>=IF(L973&lt;&gt;"",INDIRECT(VLOOKUP(L973,ThangLuongData,3,FALSE)),"")</formula1>
    </dataValidation>
    <dataValidation type="list" sqref="N973" xr:uid="{6C7082F5-36F0-4FDF-9B0B-CE5777C5894F}">
      <formula1>=IF(M973&lt;&gt;"",INDIRECT(VLOOKUP(M973,NgachLuongData,4,FALSE)),"")</formula1>
    </dataValidation>
    <dataValidation type="list" sqref="M974" xr:uid="{DD431329-2214-444C-A9AA-26B265029155}">
      <formula1>=IF(L974&lt;&gt;"",INDIRECT(VLOOKUP(L974,ThangLuongData,3,FALSE)),"")</formula1>
    </dataValidation>
    <dataValidation type="list" sqref="N974" xr:uid="{A481EED0-117F-42B9-935A-68008BA850D1}">
      <formula1>=IF(M974&lt;&gt;"",INDIRECT(VLOOKUP(M974,NgachLuongData,4,FALSE)),"")</formula1>
    </dataValidation>
    <dataValidation type="list" sqref="M975" xr:uid="{62F63E9F-A9AB-4343-A966-DB80CE263C4D}">
      <formula1>=IF(L975&lt;&gt;"",INDIRECT(VLOOKUP(L975,ThangLuongData,3,FALSE)),"")</formula1>
    </dataValidation>
    <dataValidation type="list" sqref="N975" xr:uid="{03E3509F-3E00-460F-9CEB-C11F841273C6}">
      <formula1>=IF(M975&lt;&gt;"",INDIRECT(VLOOKUP(M975,NgachLuongData,4,FALSE)),"")</formula1>
    </dataValidation>
    <dataValidation type="list" sqref="M976" xr:uid="{5759B394-05A0-448C-B390-C5CBD41C6FF0}">
      <formula1>=IF(L976&lt;&gt;"",INDIRECT(VLOOKUP(L976,ThangLuongData,3,FALSE)),"")</formula1>
    </dataValidation>
    <dataValidation type="list" sqref="N976" xr:uid="{1072E1AB-F3D3-4F5D-9F6E-6F6CC01F4E72}">
      <formula1>=IF(M976&lt;&gt;"",INDIRECT(VLOOKUP(M976,NgachLuongData,4,FALSE)),"")</formula1>
    </dataValidation>
    <dataValidation type="list" sqref="M977" xr:uid="{442C03AA-F26F-4066-AE21-50088659B2BB}">
      <formula1>=IF(L977&lt;&gt;"",INDIRECT(VLOOKUP(L977,ThangLuongData,3,FALSE)),"")</formula1>
    </dataValidation>
    <dataValidation type="list" sqref="N977" xr:uid="{87403C29-532E-4638-A97A-4C8921D56819}">
      <formula1>=IF(M977&lt;&gt;"",INDIRECT(VLOOKUP(M977,NgachLuongData,4,FALSE)),"")</formula1>
    </dataValidation>
    <dataValidation type="list" sqref="M978" xr:uid="{F13D52D2-CE63-4C4D-8A82-23EB283951F3}">
      <formula1>=IF(L978&lt;&gt;"",INDIRECT(VLOOKUP(L978,ThangLuongData,3,FALSE)),"")</formula1>
    </dataValidation>
    <dataValidation type="list" sqref="N978" xr:uid="{AEAC7819-1F66-4C0B-98B7-80F748444DD1}">
      <formula1>=IF(M978&lt;&gt;"",INDIRECT(VLOOKUP(M978,NgachLuongData,4,FALSE)),"")</formula1>
    </dataValidation>
    <dataValidation type="list" sqref="M979" xr:uid="{748ED3A5-ABC0-4F76-AAFC-B8CF28E896AD}">
      <formula1>=IF(L979&lt;&gt;"",INDIRECT(VLOOKUP(L979,ThangLuongData,3,FALSE)),"")</formula1>
    </dataValidation>
    <dataValidation type="list" sqref="N979" xr:uid="{4CD83AB5-1D26-4101-AA24-54FFA9D31630}">
      <formula1>=IF(M979&lt;&gt;"",INDIRECT(VLOOKUP(M979,NgachLuongData,4,FALSE)),"")</formula1>
    </dataValidation>
    <dataValidation type="list" sqref="M980" xr:uid="{B5A2684A-AB03-49A0-8AD9-620DC5B88697}">
      <formula1>=IF(L980&lt;&gt;"",INDIRECT(VLOOKUP(L980,ThangLuongData,3,FALSE)),"")</formula1>
    </dataValidation>
    <dataValidation type="list" sqref="N980" xr:uid="{1ED381DB-0B8F-4C7A-8BB3-104213FDEA89}">
      <formula1>=IF(M980&lt;&gt;"",INDIRECT(VLOOKUP(M980,NgachLuongData,4,FALSE)),"")</formula1>
    </dataValidation>
    <dataValidation type="list" sqref="M981" xr:uid="{55E4BA36-D405-4E1E-A6C0-A1A29CFABA22}">
      <formula1>=IF(L981&lt;&gt;"",INDIRECT(VLOOKUP(L981,ThangLuongData,3,FALSE)),"")</formula1>
    </dataValidation>
    <dataValidation type="list" sqref="N981" xr:uid="{45450DDD-DDBD-40CF-BCAC-1EF1EBE4F83A}">
      <formula1>=IF(M981&lt;&gt;"",INDIRECT(VLOOKUP(M981,NgachLuongData,4,FALSE)),"")</formula1>
    </dataValidation>
    <dataValidation type="list" sqref="M982" xr:uid="{9A9FA82E-2342-484E-A09D-294611F5C956}">
      <formula1>=IF(L982&lt;&gt;"",INDIRECT(VLOOKUP(L982,ThangLuongData,3,FALSE)),"")</formula1>
    </dataValidation>
    <dataValidation type="list" sqref="N982" xr:uid="{1943CB41-F546-4F08-AB83-AF4F8519D211}">
      <formula1>=IF(M982&lt;&gt;"",INDIRECT(VLOOKUP(M982,NgachLuongData,4,FALSE)),"")</formula1>
    </dataValidation>
    <dataValidation type="list" sqref="M983" xr:uid="{E8F7D0B1-14CA-45D4-B90D-ECDC6E231EA7}">
      <formula1>=IF(L983&lt;&gt;"",INDIRECT(VLOOKUP(L983,ThangLuongData,3,FALSE)),"")</formula1>
    </dataValidation>
    <dataValidation type="list" sqref="N983" xr:uid="{3B96E941-8819-4C96-A965-059BC8F97133}">
      <formula1>=IF(M983&lt;&gt;"",INDIRECT(VLOOKUP(M983,NgachLuongData,4,FALSE)),"")</formula1>
    </dataValidation>
    <dataValidation type="list" sqref="M984" xr:uid="{809B6AE4-00E1-41D5-A692-9DCDD0FDDB12}">
      <formula1>=IF(L984&lt;&gt;"",INDIRECT(VLOOKUP(L984,ThangLuongData,3,FALSE)),"")</formula1>
    </dataValidation>
    <dataValidation type="list" sqref="N984" xr:uid="{E7AE44AE-05AD-42AB-965C-5BF2208F2549}">
      <formula1>=IF(M984&lt;&gt;"",INDIRECT(VLOOKUP(M984,NgachLuongData,4,FALSE)),"")</formula1>
    </dataValidation>
    <dataValidation type="list" sqref="M985" xr:uid="{F9FE9039-B79D-4C9A-B811-BA0BD2C5AA04}">
      <formula1>=IF(L985&lt;&gt;"",INDIRECT(VLOOKUP(L985,ThangLuongData,3,FALSE)),"")</formula1>
    </dataValidation>
    <dataValidation type="list" sqref="N985" xr:uid="{A966BEDB-D672-480F-9F4E-8D7D71D0C64E}">
      <formula1>=IF(M985&lt;&gt;"",INDIRECT(VLOOKUP(M985,NgachLuongData,4,FALSE)),"")</formula1>
    </dataValidation>
    <dataValidation type="list" sqref="M986" xr:uid="{08D2CA6C-B4DB-44ED-B833-CE1C72796763}">
      <formula1>=IF(L986&lt;&gt;"",INDIRECT(VLOOKUP(L986,ThangLuongData,3,FALSE)),"")</formula1>
    </dataValidation>
    <dataValidation type="list" sqref="N986" xr:uid="{FEF9995C-CB41-439A-914A-B5828FF17128}">
      <formula1>=IF(M986&lt;&gt;"",INDIRECT(VLOOKUP(M986,NgachLuongData,4,FALSE)),"")</formula1>
    </dataValidation>
    <dataValidation type="list" sqref="M987" xr:uid="{19E3D71B-2638-4619-A77C-3B2E8C318F1D}">
      <formula1>=IF(L987&lt;&gt;"",INDIRECT(VLOOKUP(L987,ThangLuongData,3,FALSE)),"")</formula1>
    </dataValidation>
    <dataValidation type="list" sqref="N987" xr:uid="{44DFE283-AE2A-4193-814F-39CEC95770E0}">
      <formula1>=IF(M987&lt;&gt;"",INDIRECT(VLOOKUP(M987,NgachLuongData,4,FALSE)),"")</formula1>
    </dataValidation>
    <dataValidation type="list" sqref="M988" xr:uid="{7A048068-1AB1-4AD1-A9E2-64CB36351D81}">
      <formula1>=IF(L988&lt;&gt;"",INDIRECT(VLOOKUP(L988,ThangLuongData,3,FALSE)),"")</formula1>
    </dataValidation>
    <dataValidation type="list" sqref="N988" xr:uid="{D94540F8-C72B-4220-A0AB-24E2B7B5F5DC}">
      <formula1>=IF(M988&lt;&gt;"",INDIRECT(VLOOKUP(M988,NgachLuongData,4,FALSE)),"")</formula1>
    </dataValidation>
    <dataValidation type="list" sqref="M989" xr:uid="{2FD1AB8C-B12B-4E13-9BAD-C4AA19E541F4}">
      <formula1>=IF(L989&lt;&gt;"",INDIRECT(VLOOKUP(L989,ThangLuongData,3,FALSE)),"")</formula1>
    </dataValidation>
    <dataValidation type="list" sqref="N989" xr:uid="{4F42A4E6-6B4D-4B86-A2D3-7ECC27928B97}">
      <formula1>=IF(M989&lt;&gt;"",INDIRECT(VLOOKUP(M989,NgachLuongData,4,FALSE)),"")</formula1>
    </dataValidation>
    <dataValidation type="list" sqref="M990" xr:uid="{43D9ADBE-CE49-4C8C-A932-1058819E15E0}">
      <formula1>=IF(L990&lt;&gt;"",INDIRECT(VLOOKUP(L990,ThangLuongData,3,FALSE)),"")</formula1>
    </dataValidation>
    <dataValidation type="list" sqref="N990" xr:uid="{85DFC952-537B-4A79-8EEA-CF1554E43B94}">
      <formula1>=IF(M990&lt;&gt;"",INDIRECT(VLOOKUP(M990,NgachLuongData,4,FALSE)),"")</formula1>
    </dataValidation>
    <dataValidation type="list" sqref="M991" xr:uid="{55F0A20B-FF12-42FA-ABD7-CB3CC7DD0ED8}">
      <formula1>=IF(L991&lt;&gt;"",INDIRECT(VLOOKUP(L991,ThangLuongData,3,FALSE)),"")</formula1>
    </dataValidation>
    <dataValidation type="list" sqref="N991" xr:uid="{41DF73B7-97FE-445C-9D68-9D970BCC2BDF}">
      <formula1>=IF(M991&lt;&gt;"",INDIRECT(VLOOKUP(M991,NgachLuongData,4,FALSE)),"")</formula1>
    </dataValidation>
    <dataValidation type="list" sqref="M992" xr:uid="{07587D70-6CB5-4F2C-95E4-1680AC79DCC7}">
      <formula1>=IF(L992&lt;&gt;"",INDIRECT(VLOOKUP(L992,ThangLuongData,3,FALSE)),"")</formula1>
    </dataValidation>
    <dataValidation type="list" sqref="N992" xr:uid="{B15144B1-0652-4C39-A6F8-DAFA942AA056}">
      <formula1>=IF(M992&lt;&gt;"",INDIRECT(VLOOKUP(M992,NgachLuongData,4,FALSE)),"")</formula1>
    </dataValidation>
    <dataValidation type="list" sqref="M993" xr:uid="{653ACEF3-971C-4015-9FB5-0F501D837CCA}">
      <formula1>=IF(L993&lt;&gt;"",INDIRECT(VLOOKUP(L993,ThangLuongData,3,FALSE)),"")</formula1>
    </dataValidation>
    <dataValidation type="list" sqref="N993" xr:uid="{E9A596A4-A1BB-4E07-9954-513CD5A889C5}">
      <formula1>=IF(M993&lt;&gt;"",INDIRECT(VLOOKUP(M993,NgachLuongData,4,FALSE)),"")</formula1>
    </dataValidation>
    <dataValidation type="list" sqref="M994" xr:uid="{D386C266-2117-481D-999C-9D017B917012}">
      <formula1>=IF(L994&lt;&gt;"",INDIRECT(VLOOKUP(L994,ThangLuongData,3,FALSE)),"")</formula1>
    </dataValidation>
    <dataValidation type="list" sqref="N994" xr:uid="{C435237F-1A7B-447F-971C-7DEAB9A3EE81}">
      <formula1>=IF(M994&lt;&gt;"",INDIRECT(VLOOKUP(M994,NgachLuongData,4,FALSE)),"")</formula1>
    </dataValidation>
    <dataValidation type="list" sqref="M995" xr:uid="{D6BDE7DA-87F9-4FE5-83B0-E77930E68453}">
      <formula1>=IF(L995&lt;&gt;"",INDIRECT(VLOOKUP(L995,ThangLuongData,3,FALSE)),"")</formula1>
    </dataValidation>
    <dataValidation type="list" sqref="N995" xr:uid="{9B6194AD-306D-4006-A714-B5AF64060AB7}">
      <formula1>=IF(M995&lt;&gt;"",INDIRECT(VLOOKUP(M995,NgachLuongData,4,FALSE)),"")</formula1>
    </dataValidation>
    <dataValidation type="list" sqref="M996" xr:uid="{D4AC9C4A-4A48-47DB-A3AD-71DDAFBD23BC}">
      <formula1>=IF(L996&lt;&gt;"",INDIRECT(VLOOKUP(L996,ThangLuongData,3,FALSE)),"")</formula1>
    </dataValidation>
    <dataValidation type="list" sqref="N996" xr:uid="{3FBBAC19-A6FB-4B2A-A230-8836C75D8B81}">
      <formula1>=IF(M996&lt;&gt;"",INDIRECT(VLOOKUP(M996,NgachLuongData,4,FALSE)),"")</formula1>
    </dataValidation>
    <dataValidation type="list" sqref="M997" xr:uid="{D24799BF-2ABF-4EB3-B8F2-42219A1DBBEE}">
      <formula1>=IF(L997&lt;&gt;"",INDIRECT(VLOOKUP(L997,ThangLuongData,3,FALSE)),"")</formula1>
    </dataValidation>
    <dataValidation type="list" sqref="N997" xr:uid="{D3F1E613-BC51-481F-A04B-DC9048A30ED3}">
      <formula1>=IF(M997&lt;&gt;"",INDIRECT(VLOOKUP(M997,NgachLuongData,4,FALSE)),"")</formula1>
    </dataValidation>
    <dataValidation type="list" sqref="M998" xr:uid="{17BBA373-DF53-464F-B2C4-0BA8FCA30B64}">
      <formula1>=IF(L998&lt;&gt;"",INDIRECT(VLOOKUP(L998,ThangLuongData,3,FALSE)),"")</formula1>
    </dataValidation>
    <dataValidation type="list" sqref="N998" xr:uid="{8333E206-9890-4AF3-88B5-69B75C5B90AC}">
      <formula1>=IF(M998&lt;&gt;"",INDIRECT(VLOOKUP(M998,NgachLuongData,4,FALSE)),"")</formula1>
    </dataValidation>
    <dataValidation type="list" sqref="M999" xr:uid="{14EB10CB-C80F-40C0-8C1A-D97AB3020486}">
      <formula1>=IF(L999&lt;&gt;"",INDIRECT(VLOOKUP(L999,ThangLuongData,3,FALSE)),"")</formula1>
    </dataValidation>
    <dataValidation type="list" sqref="N999" xr:uid="{49F18055-D16B-49DA-B05F-87CF6ED1BBC8}">
      <formula1>=IF(M999&lt;&gt;"",INDIRECT(VLOOKUP(M999,NgachLuongData,4,FALSE)),"")</formula1>
    </dataValidation>
    <dataValidation type="list" sqref="M1000" xr:uid="{836E3147-655E-48C4-96D1-36CE27D3861B}">
      <formula1>=IF(L1000&lt;&gt;"",INDIRECT(VLOOKUP(L1000,ThangLuongData,3,FALSE)),"")</formula1>
    </dataValidation>
    <dataValidation type="list" sqref="N1000" xr:uid="{77845006-C680-4F48-8F01-5CBA0D748549}">
      <formula1>=IF(M1000&lt;&gt;"",INDIRECT(VLOOKUP(M1000,NgachLuongData,4,FALSE)),"")</formula1>
    </dataValidation>
  </dataValidations>
  <pageMargins left="0.75" right="0.75" top="1" bottom="1" header="0.5" footer="0.5"/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sheetViews>
    <sheetView workbookViewId="0"/>
  </sheetViews>
  <sheetFormatPr defaultRowHeight="15"/>
  <sheetData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tranh</dc:creator>
  <cp:lastModifiedBy>tranh</cp:lastModifiedBy>
  <dcterms:created xsi:type="dcterms:W3CDTF">2026-03-02T15:16:00Z</dcterms:created>
  <dcterms:modified xsi:type="dcterms:W3CDTF">2026-03-03T11:59:20Z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7340929BBF3640259E2A83C3A22BC59E_11</vt:lpwstr>
  </property>
  <property fmtid="{D5CDD505-2E9C-101B-9397-08002B2CF9AE}" pid="3" name="KSOProductBuildVer">
    <vt:lpwstr>1033-12.2.0.23196</vt:lpwstr>
  </property>
</Properties>
</file>