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wps-officedocument.customStorage+xml" PartName="/xl/customStorage/customStorag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3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0"/>
  </bookViews>
  <sheets>
    <sheet name="Sheet1" sheetId="2" r:id="rId6"/>
    <sheet name="Data_Lookup" sheetId="3" r:id="rId7" state="hidden"/>
  </sheets>
  <definedNames>
    <definedName name="DanhSachChungChi">Data_Lookup!$D$2:$E$1000</definedName>
    <definedName name="DanhSachChungChiName">Data_Lookup!$D$2:$D$1000</definedName>
    <definedName name="DanhSachCode">Data_Lookup!$A$2:$A$1000</definedName>
    <definedName name="DanhSachCodeId">Data_Lookup!$A$2:$C$1000</definedName>
    <definedName name="DanhSachCoKhong">Data_Lookup!$F$2:$F$3</definedName>
    <definedName name="DanhSachDonViDaoTao">Data_Lookup!$G$2:$H$1000</definedName>
    <definedName name="DanhSachDonViDaoTaoName">Data_Lookup!$G$2:$G$1000</definedName>
    <definedName name="DanhSachLevelId">Data_Lookup!$I$2:$J$1000</definedName>
    <definedName name="DanhSachLevelIdName">Data_Lookup!$I$2:$I$1000</definedName>
    <definedName name="DanhSachLevelTrain">Data_Lookup!$K$2:$L$1000</definedName>
    <definedName name="DanhSachLevelTrainName">Data_Lookup!$K$2:$K$1000</definedName>
    <definedName name="DanhSachNhanVien">Data_Lookup!$A$2:$B$1000</definedName>
    <definedName name="DanhSachTrainingMethod">Data_Lookup!$M$2:$N$1000</definedName>
    <definedName name="DanhSachTrainingMethodName">Data_Lookup!$M$2:$M$1000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<sst xmlns="http://schemas.openxmlformats.org/spreadsheetml/2006/main" count="57" uniqueCount="57">
  <si>
    <t>CODE</t>
  </si>
  <si>
    <t>FULL_NAME</t>
  </si>
  <si>
    <t>EMPLOYEE_ID</t>
  </si>
  <si>
    <t>CERT_NAME</t>
  </si>
  <si>
    <t>CERT_ID</t>
  </si>
  <si>
    <t>YES_NO</t>
  </si>
  <si>
    <t>GRAD_NAME</t>
  </si>
  <si>
    <t>GRAD_ID</t>
  </si>
  <si>
    <t>LEVEL_ID_NAME</t>
  </si>
  <si>
    <t>LEVEL_ID_VAL</t>
  </si>
  <si>
    <t>LEVEL_TRAIN_NAME</t>
  </si>
  <si>
    <t>LEVEL_TRAIN_VAL</t>
  </si>
  <si>
    <t>TRAIN_METHOD_NAME</t>
  </si>
  <si>
    <t>TRAIN_METHOD_VAL</t>
  </si>
  <si>
    <t>Có</t>
  </si>
  <si>
    <t>Không</t>
  </si>
  <si>
    <t>DANH SÁCH BẰNG CẤP/CHỨNG CHỈ NHÂN VIÊN</t>
  </si>
  <si>
    <t>CERTIFICATE_TYPE</t>
  </si>
  <si>
    <t>IS_PRIME</t>
  </si>
  <si>
    <t>NAME</t>
  </si>
  <si>
    <t>GRADUATE_SCHOOL</t>
  </si>
  <si>
    <t>LEVEL_ID</t>
  </si>
  <si>
    <t>LEVEL_TRAIN</t>
  </si>
  <si>
    <t>TRAINING_METHOD</t>
  </si>
  <si>
    <t>YEAR</t>
  </si>
  <si>
    <t>CONTENT_TRAIN</t>
  </si>
  <si>
    <t>MARK</t>
  </si>
  <si>
    <t>TRAIN_FROM_DATE</t>
  </si>
  <si>
    <t>TRAIN_TO_DATE</t>
  </si>
  <si>
    <t>EFFECT_FROM</t>
  </si>
  <si>
    <t>EFFECT_TO</t>
  </si>
  <si>
    <t>CLASSIFICATION</t>
  </si>
  <si>
    <t>REMARK</t>
  </si>
  <si>
    <t>Mã nhân viên</t>
  </si>
  <si>
    <t>Họ và tên</t>
  </si>
  <si>
    <t>Loại bằng cấp/Chứng chỉ</t>
  </si>
  <si>
    <t>Là bằng chính</t>
  </si>
  <si>
    <t>Tên bằng cấp/Chứng chỉ</t>
  </si>
  <si>
    <t>Đơn vị đào tạo</t>
  </si>
  <si>
    <t>Trình độ chuyên môn</t>
  </si>
  <si>
    <t>Trình độ học vấn</t>
  </si>
  <si>
    <t>Hình thức đào tạo</t>
  </si>
  <si>
    <t>Năm</t>
  </si>
  <si>
    <t>Nội dung đào tạo</t>
  </si>
  <si>
    <t>Điểm số</t>
  </si>
  <si>
    <t>Thời gian đào tạo từ</t>
  </si>
  <si>
    <t>Thời gian đào tạo đến</t>
  </si>
  <si>
    <t>Hiệu lực chứng chỉ từ</t>
  </si>
  <si>
    <t>Hiệu lực chứng chỉ đến</t>
  </si>
  <si>
    <t>Xếp loại tốt nghiệp</t>
  </si>
  <si>
    <t>Ghi chú</t>
  </si>
  <si>
    <t>Chọn từ danh sách (bắt buộc)</t>
  </si>
  <si>
    <t>Chọn từ danh sách</t>
  </si>
  <si>
    <t>Kiểu chuỗi ký tự</t>
  </si>
  <si>
    <t>Kiểu số (ví dụ : 2026) (Bắt buộc)</t>
  </si>
  <si>
    <t>Nhập điểm số (ví dụ: 8.5)</t>
  </si>
  <si>
    <t xml:space="preserve">Kiểu ngày tháng  dd/MM/yyyy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</si>
</sst>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0.0"/>
    <numFmt numFmtId="181" formatCode="dd/mm/yyyy"/>
  </numFmts>
  <fonts count="22">
    <font>
      <sz val="11"/>
      <color theme="1"/>
      <name val="Calibri"/>
      <charset val="134"/>
      <scheme val="minor"/>
    </font>
    <font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  <diagonal/>
    </border>
  </borders>
  <cellStyleXfs count="49">
    <xf numFmtId="0" fontId="0" fillId="0" borderId="0" applyAlignment="1">
      <alignment vertical="center"/>
    </xf>
    <xf numFmtId="176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8" applyNumberFormat="1" fontId="0" applyFont="0" fillId="0" applyFill="0" borderId="0" applyBorder="0" applyProtection="0" applyAlignment="0">
      <alignment vertical="center"/>
    </xf>
    <xf numFmtId="179" applyNumberFormat="1" fontId="0" applyFont="0" fillId="0" applyFill="0" borderId="0" applyBorder="0" applyProtection="0" applyAlignment="0">
      <alignment vertical="center"/>
    </xf>
    <xf numFmtId="0" applyNumberFormat="0" fontId="2" applyFont="1" fillId="0" applyFill="0" borderId="0" applyBorder="0" applyProtection="0" applyAlignment="0">
      <alignment vertical="center"/>
    </xf>
    <xf numFmtId="0" applyNumberFormat="0" fontId="3" applyFont="1" fillId="0" applyFill="0" borderId="0" applyBorder="0" applyProtection="0" applyAlignment="0">
      <alignment vertical="center"/>
    </xf>
    <xf numFmtId="0" applyNumberFormat="0" fontId="0" applyFont="0" fillId="2" applyFill="1" borderId="1" applyBorder="1" applyProtection="0" applyAlignment="0">
      <alignment vertical="center"/>
    </xf>
    <xf numFmtId="0" applyNumberFormat="0" fontId="4" applyFont="1" fillId="0" applyFill="0" borderId="0" applyBorder="0" applyProtection="0" applyAlignment="0">
      <alignment vertical="center"/>
    </xf>
    <xf numFmtId="0" applyNumberFormat="0" fontId="5" applyFont="1" fillId="0" applyFill="0" borderId="0" applyBorder="0" applyProtection="0" applyAlignment="0">
      <alignment vertical="center"/>
    </xf>
    <xf numFmtId="0" applyNumberFormat="0" fontId="6" applyFont="1" fillId="0" applyFill="0" borderId="0" applyBorder="0" applyProtection="0" applyAlignment="0">
      <alignment vertical="center"/>
    </xf>
    <xf numFmtId="0" applyNumberFormat="0" fontId="7" applyFont="1" fillId="0" applyFill="0" borderId="2" applyBorder="1" applyProtection="0" applyAlignment="0">
      <alignment vertical="center"/>
    </xf>
    <xf numFmtId="0" applyNumberFormat="0" fontId="8" applyFont="1" fillId="0" applyFill="0" borderId="2" applyBorder="1" applyProtection="0" applyAlignment="0">
      <alignment vertical="center"/>
    </xf>
    <xf numFmtId="0" applyNumberFormat="0" fontId="9" applyFont="1" fillId="0" applyFill="0" borderId="3" applyBorder="1" applyProtection="0" applyAlignment="0">
      <alignment vertical="center"/>
    </xf>
    <xf numFmtId="0" applyNumberFormat="0" fontId="9" applyFont="1" fillId="0" applyFill="0" borderId="0" applyBorder="0" applyProtection="0" applyAlignment="0">
      <alignment vertical="center"/>
    </xf>
    <xf numFmtId="0" applyNumberFormat="0" fontId="10" applyFont="1" fillId="3" applyFill="1" borderId="4" applyBorder="1" applyProtection="0" applyAlignment="0">
      <alignment vertical="center"/>
    </xf>
    <xf numFmtId="0" applyNumberFormat="0" fontId="11" applyFont="1" fillId="4" applyFill="1" borderId="5" applyBorder="1" applyProtection="0" applyAlignment="0">
      <alignment vertical="center"/>
    </xf>
    <xf numFmtId="0" applyNumberFormat="0" fontId="12" applyFont="1" fillId="4" applyFill="1" borderId="4" applyBorder="1" applyProtection="0" applyAlignment="0">
      <alignment vertical="center"/>
    </xf>
    <xf numFmtId="0" applyNumberFormat="0" fontId="13" applyFont="1" fillId="5" applyFill="1" borderId="6" applyBorder="1" applyProtection="0" applyAlignment="0">
      <alignment vertical="center"/>
    </xf>
    <xf numFmtId="0" applyNumberFormat="0" fontId="14" applyFont="1" fillId="0" applyFill="0" borderId="7" applyBorder="1" applyProtection="0" applyAlignment="0">
      <alignment vertical="center"/>
    </xf>
    <xf numFmtId="0" applyNumberFormat="0" fontId="15" applyFont="1" fillId="0" applyFill="0" borderId="8" applyBorder="1" applyProtection="0" applyAlignment="0">
      <alignment vertical="center"/>
    </xf>
    <xf numFmtId="0" applyNumberFormat="0" fontId="16" applyFont="1" fillId="6" applyFill="1" borderId="0" applyBorder="0" applyProtection="0" applyAlignment="0">
      <alignment vertical="center"/>
    </xf>
    <xf numFmtId="0" applyNumberFormat="0" fontId="17" applyFont="1" fillId="7" applyFill="1" borderId="0" applyBorder="0" applyProtection="0" applyAlignment="0">
      <alignment vertical="center"/>
    </xf>
    <xf numFmtId="0" applyNumberFormat="0" fontId="18" applyFont="1" fillId="8" applyFill="1" borderId="0" applyBorder="0" applyProtection="0" applyAlignment="0">
      <alignment vertical="center"/>
    </xf>
    <xf numFmtId="0" applyNumberFormat="0" fontId="19" applyFont="1" fillId="9" applyFill="1" borderId="0" applyBorder="0" applyProtection="0" applyAlignment="0">
      <alignment vertical="center"/>
    </xf>
    <xf numFmtId="0" applyNumberFormat="0" fontId="20" applyFont="1" fillId="10" applyFill="1" borderId="0" applyBorder="0" applyProtection="0" applyAlignment="0">
      <alignment vertical="center"/>
    </xf>
    <xf numFmtId="0" applyNumberFormat="0" fontId="20" applyFont="1" fillId="11" applyFill="1" borderId="0" applyBorder="0" applyProtection="0" applyAlignment="0">
      <alignment vertical="center"/>
    </xf>
    <xf numFmtId="0" applyNumberFormat="0" fontId="19" applyFont="1" fillId="12" applyFill="1" borderId="0" applyBorder="0" applyProtection="0" applyAlignment="0">
      <alignment vertical="center"/>
    </xf>
    <xf numFmtId="0" applyNumberFormat="0" fontId="19" applyFont="1" fillId="13" applyFill="1" borderId="0" applyBorder="0" applyProtection="0" applyAlignment="0">
      <alignment vertical="center"/>
    </xf>
    <xf numFmtId="0" applyNumberFormat="0" fontId="20" applyFont="1" fillId="14" applyFill="1" borderId="0" applyBorder="0" applyProtection="0" applyAlignment="0">
      <alignment vertical="center"/>
    </xf>
    <xf numFmtId="0" applyNumberFormat="0" fontId="20" applyFont="1" fillId="15" applyFill="1" borderId="0" applyBorder="0" applyProtection="0" applyAlignment="0">
      <alignment vertical="center"/>
    </xf>
    <xf numFmtId="0" applyNumberFormat="0" fontId="19" applyFont="1" fillId="16" applyFill="1" borderId="0" applyBorder="0" applyProtection="0" applyAlignment="0">
      <alignment vertical="center"/>
    </xf>
    <xf numFmtId="0" applyNumberFormat="0" fontId="19" applyFont="1" fillId="17" applyFill="1" borderId="0" applyBorder="0" applyProtection="0" applyAlignment="0">
      <alignment vertical="center"/>
    </xf>
    <xf numFmtId="0" applyNumberFormat="0" fontId="20" applyFont="1" fillId="18" applyFill="1" borderId="0" applyBorder="0" applyProtection="0" applyAlignment="0">
      <alignment vertical="center"/>
    </xf>
    <xf numFmtId="0" applyNumberFormat="0" fontId="20" applyFont="1" fillId="19" applyFill="1" borderId="0" applyBorder="0" applyProtection="0" applyAlignment="0">
      <alignment vertical="center"/>
    </xf>
    <xf numFmtId="0" applyNumberFormat="0" fontId="19" applyFont="1" fillId="20" applyFill="1" borderId="0" applyBorder="0" applyProtection="0" applyAlignment="0">
      <alignment vertical="center"/>
    </xf>
    <xf numFmtId="0" applyNumberFormat="0" fontId="19" applyFont="1" fillId="21" applyFill="1" borderId="0" applyBorder="0" applyProtection="0" applyAlignment="0">
      <alignment vertical="center"/>
    </xf>
    <xf numFmtId="0" applyNumberFormat="0" fontId="20" applyFont="1" fillId="22" applyFill="1" borderId="0" applyBorder="0" applyProtection="0" applyAlignment="0">
      <alignment vertical="center"/>
    </xf>
    <xf numFmtId="0" applyNumberFormat="0" fontId="20" applyFont="1" fillId="23" applyFill="1" borderId="0" applyBorder="0" applyProtection="0" applyAlignment="0">
      <alignment vertical="center"/>
    </xf>
    <xf numFmtId="0" applyNumberFormat="0" fontId="19" applyFont="1" fillId="24" applyFill="1" borderId="0" applyBorder="0" applyProtection="0" applyAlignment="0">
      <alignment vertical="center"/>
    </xf>
    <xf numFmtId="0" applyNumberFormat="0" fontId="19" applyFont="1" fillId="25" applyFill="1" borderId="0" applyBorder="0" applyProtection="0" applyAlignment="0">
      <alignment vertical="center"/>
    </xf>
    <xf numFmtId="0" applyNumberFormat="0" fontId="20" applyFont="1" fillId="26" applyFill="1" borderId="0" applyBorder="0" applyProtection="0" applyAlignment="0">
      <alignment vertical="center"/>
    </xf>
    <xf numFmtId="0" applyNumberFormat="0" fontId="20" applyFont="1" fillId="27" applyFill="1" borderId="0" applyBorder="0" applyProtection="0" applyAlignment="0">
      <alignment vertical="center"/>
    </xf>
    <xf numFmtId="0" applyNumberFormat="0" fontId="19" applyFont="1" fillId="28" applyFill="1" borderId="0" applyBorder="0" applyProtection="0" applyAlignment="0">
      <alignment vertical="center"/>
    </xf>
    <xf numFmtId="0" applyNumberFormat="0" fontId="19" applyFont="1" fillId="29" applyFill="1" borderId="0" applyBorder="0" applyProtection="0" applyAlignment="0">
      <alignment vertical="center"/>
    </xf>
    <xf numFmtId="0" applyNumberFormat="0" fontId="20" applyFont="1" fillId="30" applyFill="1" borderId="0" applyBorder="0" applyProtection="0" applyAlignment="0">
      <alignment vertical="center"/>
    </xf>
    <xf numFmtId="0" applyNumberFormat="0" fontId="20" applyFont="1" fillId="31" applyFill="1" borderId="0" applyBorder="0" applyProtection="0" applyAlignment="0">
      <alignment vertical="center"/>
    </xf>
    <xf numFmtId="0" applyNumberFormat="0" fontId="19" applyFont="1" fillId="32" applyFill="1" borderId="0" applyBorder="0" applyProtection="0" applyAlignment="0">
      <alignment vertical="center"/>
    </xf>
  </cellStyleXfs>
  <cellXfs count="18">
    <xf numFmtId="0" fontId="0" fillId="0" borderId="0" xfId="0" applyAlignment="1">
      <alignment vertical="center"/>
    </xf>
    <xf numFmtId="0" fontId="1" applyFont="1" fillId="0" borderId="0" xfId="0" applyAlignment="1">
      <alignment vertical="center"/>
    </xf>
    <xf numFmtId="0" fontId="1" applyFont="1" fillId="0" borderId="0" xfId="0" applyAlignment="1">
      <alignment horizontal="center" vertical="center"/>
    </xf>
    <xf numFmtId="0" fontId="1" applyFont="1" fillId="0" borderId="0" xfId="0" applyAlignment="1">
      <alignment horizontal="center" vertical="center" wrapText="1"/>
    </xf>
    <xf numFmtId="0" fontId="21" applyFont="1" fillId="0" borderId="0" applyAlignment="1">
      <alignment vertical="center"/>
    </xf>
    <xf numFmtId="1" applyNumberFormat="1" fontId="1" applyFont="1" fillId="0" borderId="0" xfId="0" applyAlignment="1">
      <alignment vertical="center"/>
    </xf>
    <xf numFmtId="1" applyNumberFormat="1" fontId="1" applyFont="1" fillId="0" borderId="0" xfId="0" applyAlignment="1">
      <alignment horizontal="center" vertical="center"/>
    </xf>
    <xf numFmtId="1" applyNumberFormat="1" fontId="1" applyFont="1" fillId="0" borderId="0" xfId="0" applyAlignment="1">
      <alignment horizontal="center" vertical="center" wrapText="1"/>
    </xf>
    <xf numFmtId="180" applyNumberFormat="1" fontId="1" applyFont="1" fillId="0" borderId="0" xfId="0" applyAlignment="1">
      <alignment vertical="center"/>
    </xf>
    <xf numFmtId="180" applyNumberFormat="1" fontId="1" applyFont="1" fillId="0" borderId="0" xfId="0" applyAlignment="1">
      <alignment horizontal="center" vertical="center"/>
    </xf>
    <xf numFmtId="180" applyNumberFormat="1" fontId="1" applyFont="1" fillId="0" borderId="0" xfId="0" applyAlignment="1">
      <alignment horizontal="center" vertical="center" wrapText="1"/>
    </xf>
    <xf numFmtId="181" applyNumberFormat="1" fontId="1" applyFont="1" fillId="0" borderId="0" xfId="0" applyAlignment="1">
      <alignment vertical="center"/>
    </xf>
    <xf numFmtId="181" applyNumberFormat="1" fontId="1" applyFont="1" fillId="0" borderId="0" xfId="0" applyAlignment="1">
      <alignment horizontal="center" vertical="center"/>
    </xf>
    <xf numFmtId="181" applyNumberFormat="1" fontId="1" applyFont="1" fillId="0" borderId="0" xfId="0" applyAlignment="1">
      <alignment horizontal="center" vertical="center" wrapText="1"/>
    </xf>
    <xf numFmtId="0" fontId="1" applyFont="1" fillId="0" borderId="9" applyBorder="1" xfId="0" applyAlignment="1">
      <alignment vertical="center"/>
    </xf>
    <xf numFmtId="1" applyNumberFormat="1" fontId="1" applyFont="1" fillId="0" borderId="9" applyBorder="1" xfId="0" applyAlignment="1">
      <alignment vertical="center"/>
    </xf>
    <xf numFmtId="180" applyNumberFormat="1" fontId="1" applyFont="1" fillId="0" borderId="9" applyBorder="1" xfId="0" applyAlignment="1">
      <alignment vertical="center"/>
    </xf>
    <xf numFmtId="181" applyNumberFormat="1" fontId="1" applyFont="1" fillId="0" borderId="9" applyBorder="1" xfId="0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2"/>
      <tableStyleElement type="lastColumn" dxfId="2"/>
      <tableStyleElement type="firstRowStripe" dxfId="0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0"/>
      <tableStyleElement type="firstColumnStripe" dxfId="0"/>
      <tableStyleElement type="firstSubtotalRow" dxfId="12"/>
      <tableStyleElement type="secondSubtotalRow" dxfId="2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7" Type="http://schemas.openxmlformats.org/officeDocument/2006/relationships/worksheet" Target="worksheets/sheet3.xml"/><Relationship Id="rId6" Type="http://schemas.openxmlformats.org/officeDocument/2006/relationships/worksheet" Target="worksheets/sheet2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 xr">
  <sheetPr codeName=""/>
  <dimension ref="A1:AE100"/>
  <sheetViews>
    <sheetView tabSelected="1" topLeftCell="A5" workbookViewId="0">
      <selection activeCell="C8" sqref="C8"/>
    </sheetView>
  </sheetViews>
  <sheetFormatPr defaultColWidth="9.13888888888889" defaultRowHeight="15.6" outlineLevelRow="4"/>
  <cols>
    <col min="1" max="2" width="20.712962962963" customWidth="1" style="1"/>
    <col min="3" max="3" width="25.712962962963" customWidth="1" style="1"/>
    <col min="4" max="9" width="20.712962962963" customWidth="1" style="1"/>
    <col min="10" max="10" width="20.712962962963" customWidth="1" style="5"/>
    <col min="11" max="11" width="20.712962962963" customWidth="1" style="1"/>
    <col min="12" max="12" width="20.712962962963" customWidth="1" style="8"/>
    <col min="13" max="13" width="20.712962962963" customWidth="1" style="11"/>
    <col min="14" max="14" width="20.712962962963" customWidth="1" style="11"/>
    <col min="15" max="15" width="20.712962962963" customWidth="1" style="11"/>
    <col min="16" max="16" width="20.712962962963" customWidth="1" style="11"/>
    <col min="17" max="18" width="20.712962962963" customWidth="1" style="1"/>
    <col min="19" max="25" width="9.13888888888889" customWidth="1" style="1"/>
    <col min="26" max="26" width="0.1" customWidth="1" style="1"/>
    <col min="27" max="27" width="0.1" customWidth="1" style="1"/>
    <col min="28" max="28" width="0.1" customWidth="1" style="1"/>
    <col min="29" max="29" width="0.1" customWidth="1" style="1"/>
    <col min="30" max="30" width="0.1" customWidth="1" style="1"/>
    <col min="31" max="31" width="0.1" customWidth="1" style="1"/>
    <col min="32" max="16384" width="9.13888888888889" customWidth="1" style="1"/>
  </cols>
  <sheetData>
    <row r="1">
      <c r="A1" s="2" t="s">
        <v>16</v>
      </c>
      <c r="B1" s="2"/>
      <c r="C1" s="2"/>
      <c r="D1" s="2"/>
      <c r="E1" s="2"/>
      <c r="F1" s="2"/>
      <c r="G1" s="2"/>
      <c r="H1" s="2"/>
      <c r="I1" s="2"/>
      <c r="J1" s="6"/>
      <c r="K1" s="2"/>
      <c r="L1" s="9"/>
      <c r="M1" s="12"/>
      <c r="N1" s="12"/>
      <c r="O1" s="12"/>
      <c r="P1" s="12"/>
      <c r="Q1" s="2"/>
      <c r="R1" s="2"/>
      <c r="S1" s="2"/>
      <c r="T1" s="2"/>
    </row>
    <row r="2">
      <c r="A2" s="2"/>
      <c r="B2" s="2"/>
      <c r="C2" s="2"/>
      <c r="D2" s="2"/>
      <c r="E2" s="2"/>
      <c r="F2" s="2"/>
      <c r="G2" s="2"/>
      <c r="H2" s="2"/>
      <c r="I2" s="2"/>
      <c r="J2" s="6"/>
      <c r="K2" s="2"/>
      <c r="L2" s="9"/>
      <c r="M2" s="12"/>
      <c r="N2" s="12"/>
      <c r="O2" s="12"/>
      <c r="P2" s="12"/>
      <c r="Q2" s="2"/>
      <c r="R2" s="2"/>
      <c r="S2" s="2"/>
      <c r="T2" s="2"/>
    </row>
    <row r="3" hidden="1" ht="20" customHeight="1">
      <c r="A3" s="3" t="s">
        <v>0</v>
      </c>
      <c r="B3" s="2" t="s">
        <v>1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1" t="s">
        <v>23</v>
      </c>
      <c r="J3" s="6" t="s">
        <v>24</v>
      </c>
      <c r="K3" s="3" t="s">
        <v>25</v>
      </c>
      <c r="L3" s="9" t="s">
        <v>26</v>
      </c>
      <c r="M3" s="12" t="s">
        <v>27</v>
      </c>
      <c r="N3" s="12" t="s">
        <v>28</v>
      </c>
      <c r="O3" s="12" t="s">
        <v>29</v>
      </c>
      <c r="P3" s="12" t="s">
        <v>30</v>
      </c>
      <c r="Q3" s="3" t="s">
        <v>31</v>
      </c>
      <c r="R3" s="2" t="s">
        <v>32</v>
      </c>
    </row>
    <row r="4" ht="39" customHeight="1">
      <c r="A4" s="3" t="s">
        <v>33</v>
      </c>
      <c r="B4" s="2" t="s">
        <v>34</v>
      </c>
      <c r="C4" s="3" t="s">
        <v>35</v>
      </c>
      <c r="D4" s="2" t="s">
        <v>36</v>
      </c>
      <c r="E4" s="2" t="s">
        <v>37</v>
      </c>
      <c r="F4" s="2" t="s">
        <v>38</v>
      </c>
      <c r="G4" s="3" t="s">
        <v>39</v>
      </c>
      <c r="H4" s="2" t="s">
        <v>40</v>
      </c>
      <c r="I4" s="2" t="s">
        <v>41</v>
      </c>
      <c r="J4" s="7" t="s">
        <v>42</v>
      </c>
      <c r="K4" s="2" t="s">
        <v>43</v>
      </c>
      <c r="L4" s="9" t="s">
        <v>44</v>
      </c>
      <c r="M4" s="12" t="s">
        <v>45</v>
      </c>
      <c r="N4" s="12" t="s">
        <v>46</v>
      </c>
      <c r="O4" s="12" t="s">
        <v>47</v>
      </c>
      <c r="P4" s="12" t="s">
        <v>48</v>
      </c>
      <c r="Q4" s="2" t="s">
        <v>49</v>
      </c>
      <c r="R4" s="2" t="s">
        <v>50</v>
      </c>
    </row>
    <row r="5" ht="38" customHeight="1">
      <c r="A5" s="3" t="s">
        <v>51</v>
      </c>
      <c r="B5" s="3" t="s">
        <v>51</v>
      </c>
      <c r="C5" s="3" t="s">
        <v>51</v>
      </c>
      <c r="D5" s="3" t="s">
        <v>52</v>
      </c>
      <c r="E5" s="3" t="s">
        <v>53</v>
      </c>
      <c r="F5" s="3" t="s">
        <v>51</v>
      </c>
      <c r="G5" s="2" t="s">
        <v>52</v>
      </c>
      <c r="H5" s="2" t="s">
        <v>52</v>
      </c>
      <c r="I5" s="3" t="s">
        <v>51</v>
      </c>
      <c r="J5" s="7" t="s">
        <v>54</v>
      </c>
      <c r="K5" s="3" t="s">
        <v>53</v>
      </c>
      <c r="L5" s="10" t="s">
        <v>55</v>
      </c>
      <c r="M5" s="13" t="s">
        <v>56</v>
      </c>
      <c r="N5" s="13" t="s">
        <v>56</v>
      </c>
      <c r="O5" s="13" t="s">
        <v>56</v>
      </c>
      <c r="P5" s="13" t="s">
        <v>56</v>
      </c>
      <c r="Q5" s="3" t="s">
        <v>53</v>
      </c>
      <c r="R5" s="3" t="s">
        <v>53</v>
      </c>
    </row>
    <row r="6">
      <c r="A6" s="14"/>
      <c r="B6" s="14">
        <f>IF(A6="", "", VLOOKUP(A6, DanhSachNhanVien, 2, FALSE))</f>
      </c>
      <c r="C6" s="14"/>
      <c r="D6" s="14"/>
      <c r="E6" s="14"/>
      <c r="F6" s="14"/>
      <c r="G6" s="14"/>
      <c r="H6" s="14"/>
      <c r="I6" s="14"/>
      <c r="J6" s="15"/>
      <c r="K6" s="14"/>
      <c r="L6" s="16"/>
      <c r="M6" s="17"/>
      <c r="N6" s="17"/>
      <c r="O6" s="17"/>
      <c r="P6" s="17"/>
      <c r="Q6" s="14"/>
      <c r="R6" s="14"/>
      <c r="Z6" s="1">
        <f>IF(A6="", "", VLOOKUP(A6, DanhSachCodeId, 3, FALSE))</f>
      </c>
      <c r="AA6" s="1">
        <f>IF(C6="", "", VLOOKUP(C6, DanhSachChungChi, 2, FALSE))</f>
      </c>
      <c r="AB6" s="1">
        <f>IF(F6="", "", VLOOKUP(F6, DanhSachDonViDaoTao, 2, FALSE))</f>
      </c>
      <c r="AC6" s="1">
        <f>IF(G6="", "", VLOOKUP(G6, DanhSachLevelId, 2, FALSE))</f>
      </c>
      <c r="AD6" s="1">
        <f>IF(H6="", "", VLOOKUP(H6, DanhSachLevelTrain, 2, FALSE))</f>
      </c>
      <c r="AE6" s="1">
        <f>IF(I6="", "", VLOOKUP(I6, DanhSachTrainingMethod, 2, FALSE))</f>
      </c>
    </row>
    <row r="7">
      <c r="A7" s="14"/>
      <c r="B7" s="14">
        <f>IF(A7="", "", VLOOKUP(A7, DanhSachNhanVien, 2, FALSE))</f>
      </c>
      <c r="C7" s="14"/>
      <c r="D7" s="14"/>
      <c r="E7" s="14"/>
      <c r="F7" s="14"/>
      <c r="G7" s="14"/>
      <c r="H7" s="14"/>
      <c r="I7" s="14"/>
      <c r="J7" s="15"/>
      <c r="K7" s="14"/>
      <c r="L7" s="16"/>
      <c r="M7" s="17"/>
      <c r="N7" s="17"/>
      <c r="O7" s="17"/>
      <c r="P7" s="17"/>
      <c r="Q7" s="14"/>
      <c r="R7" s="14"/>
      <c r="Z7" s="1">
        <f>IF(A7="", "", VLOOKUP(A7, DanhSachCodeId, 3, FALSE))</f>
      </c>
      <c r="AA7" s="1">
        <f>IF(C7="", "", VLOOKUP(C7, DanhSachChungChi, 2, FALSE))</f>
      </c>
      <c r="AB7" s="1">
        <f>IF(F7="", "", VLOOKUP(F7, DanhSachDonViDaoTao, 2, FALSE))</f>
      </c>
      <c r="AC7" s="1">
        <f>IF(G7="", "", VLOOKUP(G7, DanhSachLevelId, 2, FALSE))</f>
      </c>
      <c r="AD7" s="1">
        <f>IF(H7="", "", VLOOKUP(H7, DanhSachLevelTrain, 2, FALSE))</f>
      </c>
      <c r="AE7" s="1">
        <f>IF(I7="", "", VLOOKUP(I7, DanhSachTrainingMethod, 2, FALSE))</f>
      </c>
    </row>
    <row r="8">
      <c r="A8" s="14"/>
      <c r="B8" s="14">
        <f>IF(A8="", "", VLOOKUP(A8, DanhSachNhanVien, 2, FALSE))</f>
      </c>
      <c r="C8" s="14"/>
      <c r="D8" s="14"/>
      <c r="E8" s="14"/>
      <c r="F8" s="14"/>
      <c r="G8" s="14"/>
      <c r="H8" s="14"/>
      <c r="I8" s="14"/>
      <c r="J8" s="15"/>
      <c r="K8" s="14"/>
      <c r="L8" s="16"/>
      <c r="M8" s="17"/>
      <c r="N8" s="17"/>
      <c r="O8" s="17"/>
      <c r="P8" s="17"/>
      <c r="Q8" s="14"/>
      <c r="R8" s="14"/>
      <c r="Z8" s="1">
        <f>IF(A8="", "", VLOOKUP(A8, DanhSachCodeId, 3, FALSE))</f>
      </c>
      <c r="AA8" s="1">
        <f>IF(C8="", "", VLOOKUP(C8, DanhSachChungChi, 2, FALSE))</f>
      </c>
      <c r="AB8" s="1">
        <f>IF(F8="", "", VLOOKUP(F8, DanhSachDonViDaoTao, 2, FALSE))</f>
      </c>
      <c r="AC8" s="1">
        <f>IF(G8="", "", VLOOKUP(G8, DanhSachLevelId, 2, FALSE))</f>
      </c>
      <c r="AD8" s="1">
        <f>IF(H8="", "", VLOOKUP(H8, DanhSachLevelTrain, 2, FALSE))</f>
      </c>
      <c r="AE8" s="1">
        <f>IF(I8="", "", VLOOKUP(I8, DanhSachTrainingMethod, 2, FALSE))</f>
      </c>
    </row>
    <row r="9">
      <c r="A9" s="14"/>
      <c r="B9" s="14">
        <f>IF(A9="", "", VLOOKUP(A9, DanhSachNhanVien, 2, FALSE))</f>
      </c>
      <c r="C9" s="14"/>
      <c r="D9" s="14"/>
      <c r="E9" s="14"/>
      <c r="F9" s="14"/>
      <c r="G9" s="14"/>
      <c r="H9" s="14"/>
      <c r="I9" s="14"/>
      <c r="J9" s="15"/>
      <c r="K9" s="14"/>
      <c r="L9" s="16"/>
      <c r="M9" s="17"/>
      <c r="N9" s="17"/>
      <c r="O9" s="17"/>
      <c r="P9" s="17"/>
      <c r="Q9" s="14"/>
      <c r="R9" s="14"/>
      <c r="Z9" s="1">
        <f>IF(A9="", "", VLOOKUP(A9, DanhSachCodeId, 3, FALSE))</f>
      </c>
      <c r="AA9" s="1">
        <f>IF(C9="", "", VLOOKUP(C9, DanhSachChungChi, 2, FALSE))</f>
      </c>
      <c r="AB9" s="1">
        <f>IF(F9="", "", VLOOKUP(F9, DanhSachDonViDaoTao, 2, FALSE))</f>
      </c>
      <c r="AC9" s="1">
        <f>IF(G9="", "", VLOOKUP(G9, DanhSachLevelId, 2, FALSE))</f>
      </c>
      <c r="AD9" s="1">
        <f>IF(H9="", "", VLOOKUP(H9, DanhSachLevelTrain, 2, FALSE))</f>
      </c>
      <c r="AE9" s="1">
        <f>IF(I9="", "", VLOOKUP(I9, DanhSachTrainingMethod, 2, FALSE))</f>
      </c>
    </row>
    <row r="10">
      <c r="A10" s="14"/>
      <c r="B10" s="14">
        <f>IF(A10="", "", VLOOKUP(A10, DanhSachNhanVien, 2, FALSE))</f>
      </c>
      <c r="C10" s="14"/>
      <c r="D10" s="14"/>
      <c r="E10" s="14"/>
      <c r="F10" s="14"/>
      <c r="G10" s="14"/>
      <c r="H10" s="14"/>
      <c r="I10" s="14"/>
      <c r="J10" s="15"/>
      <c r="K10" s="14"/>
      <c r="L10" s="16"/>
      <c r="M10" s="17"/>
      <c r="N10" s="17"/>
      <c r="O10" s="17"/>
      <c r="P10" s="17"/>
      <c r="Q10" s="14"/>
      <c r="R10" s="14"/>
      <c r="Z10" s="1">
        <f>IF(A10="", "", VLOOKUP(A10, DanhSachCodeId, 3, FALSE))</f>
      </c>
      <c r="AA10" s="1">
        <f>IF(C10="", "", VLOOKUP(C10, DanhSachChungChi, 2, FALSE))</f>
      </c>
      <c r="AB10" s="1">
        <f>IF(F10="", "", VLOOKUP(F10, DanhSachDonViDaoTao, 2, FALSE))</f>
      </c>
      <c r="AC10" s="1">
        <f>IF(G10="", "", VLOOKUP(G10, DanhSachLevelId, 2, FALSE))</f>
      </c>
      <c r="AD10" s="1">
        <f>IF(H10="", "", VLOOKUP(H10, DanhSachLevelTrain, 2, FALSE))</f>
      </c>
      <c r="AE10" s="1">
        <f>IF(I10="", "", VLOOKUP(I10, DanhSachTrainingMethod, 2, FALSE))</f>
      </c>
    </row>
    <row r="11">
      <c r="A11" s="14"/>
      <c r="B11" s="14">
        <f>IF(A11="", "", VLOOKUP(A11, DanhSachNhanVien, 2, FALSE))</f>
      </c>
      <c r="C11" s="14"/>
      <c r="D11" s="14"/>
      <c r="E11" s="14"/>
      <c r="F11" s="14"/>
      <c r="G11" s="14"/>
      <c r="H11" s="14"/>
      <c r="I11" s="14"/>
      <c r="J11" s="15"/>
      <c r="K11" s="14"/>
      <c r="L11" s="16"/>
      <c r="M11" s="17"/>
      <c r="N11" s="17"/>
      <c r="O11" s="17"/>
      <c r="P11" s="17"/>
      <c r="Q11" s="14"/>
      <c r="R11" s="14"/>
      <c r="Z11" s="1">
        <f>IF(A11="", "", VLOOKUP(A11, DanhSachCodeId, 3, FALSE))</f>
      </c>
      <c r="AA11" s="1">
        <f>IF(C11="", "", VLOOKUP(C11, DanhSachChungChi, 2, FALSE))</f>
      </c>
      <c r="AB11" s="1">
        <f>IF(F11="", "", VLOOKUP(F11, DanhSachDonViDaoTao, 2, FALSE))</f>
      </c>
      <c r="AC11" s="1">
        <f>IF(G11="", "", VLOOKUP(G11, DanhSachLevelId, 2, FALSE))</f>
      </c>
      <c r="AD11" s="1">
        <f>IF(H11="", "", VLOOKUP(H11, DanhSachLevelTrain, 2, FALSE))</f>
      </c>
      <c r="AE11" s="1">
        <f>IF(I11="", "", VLOOKUP(I11, DanhSachTrainingMethod, 2, FALSE))</f>
      </c>
    </row>
    <row r="12">
      <c r="A12" s="14"/>
      <c r="B12" s="14">
        <f>IF(A12="", "", VLOOKUP(A12, DanhSachNhanVien, 2, FALSE))</f>
      </c>
      <c r="C12" s="14"/>
      <c r="D12" s="14"/>
      <c r="E12" s="14"/>
      <c r="F12" s="14"/>
      <c r="G12" s="14"/>
      <c r="H12" s="14"/>
      <c r="I12" s="14"/>
      <c r="J12" s="15"/>
      <c r="K12" s="14"/>
      <c r="L12" s="16"/>
      <c r="M12" s="17"/>
      <c r="N12" s="17"/>
      <c r="O12" s="17"/>
      <c r="P12" s="17"/>
      <c r="Q12" s="14"/>
      <c r="R12" s="14"/>
      <c r="Z12" s="1">
        <f>IF(A12="", "", VLOOKUP(A12, DanhSachCodeId, 3, FALSE))</f>
      </c>
      <c r="AA12" s="1">
        <f>IF(C12="", "", VLOOKUP(C12, DanhSachChungChi, 2, FALSE))</f>
      </c>
      <c r="AB12" s="1">
        <f>IF(F12="", "", VLOOKUP(F12, DanhSachDonViDaoTao, 2, FALSE))</f>
      </c>
      <c r="AC12" s="1">
        <f>IF(G12="", "", VLOOKUP(G12, DanhSachLevelId, 2, FALSE))</f>
      </c>
      <c r="AD12" s="1">
        <f>IF(H12="", "", VLOOKUP(H12, DanhSachLevelTrain, 2, FALSE))</f>
      </c>
      <c r="AE12" s="1">
        <f>IF(I12="", "", VLOOKUP(I12, DanhSachTrainingMethod, 2, FALSE))</f>
      </c>
    </row>
    <row r="13">
      <c r="A13" s="14"/>
      <c r="B13" s="14">
        <f>IF(A13="", "", VLOOKUP(A13, DanhSachNhanVien, 2, FALSE))</f>
      </c>
      <c r="C13" s="14"/>
      <c r="D13" s="14"/>
      <c r="E13" s="14"/>
      <c r="F13" s="14"/>
      <c r="G13" s="14"/>
      <c r="H13" s="14"/>
      <c r="I13" s="14"/>
      <c r="J13" s="15"/>
      <c r="K13" s="14"/>
      <c r="L13" s="16"/>
      <c r="M13" s="17"/>
      <c r="N13" s="17"/>
      <c r="O13" s="17"/>
      <c r="P13" s="17"/>
      <c r="Q13" s="14"/>
      <c r="R13" s="14"/>
      <c r="Z13" s="1">
        <f>IF(A13="", "", VLOOKUP(A13, DanhSachCodeId, 3, FALSE))</f>
      </c>
      <c r="AA13" s="1">
        <f>IF(C13="", "", VLOOKUP(C13, DanhSachChungChi, 2, FALSE))</f>
      </c>
      <c r="AB13" s="1">
        <f>IF(F13="", "", VLOOKUP(F13, DanhSachDonViDaoTao, 2, FALSE))</f>
      </c>
      <c r="AC13" s="1">
        <f>IF(G13="", "", VLOOKUP(G13, DanhSachLevelId, 2, FALSE))</f>
      </c>
      <c r="AD13" s="1">
        <f>IF(H13="", "", VLOOKUP(H13, DanhSachLevelTrain, 2, FALSE))</f>
      </c>
      <c r="AE13" s="1">
        <f>IF(I13="", "", VLOOKUP(I13, DanhSachTrainingMethod, 2, FALSE))</f>
      </c>
    </row>
    <row r="14">
      <c r="A14" s="14"/>
      <c r="B14" s="14">
        <f>IF(A14="", "", VLOOKUP(A14, DanhSachNhanVien, 2, FALSE))</f>
      </c>
      <c r="C14" s="14"/>
      <c r="D14" s="14"/>
      <c r="E14" s="14"/>
      <c r="F14" s="14"/>
      <c r="G14" s="14"/>
      <c r="H14" s="14"/>
      <c r="I14" s="14"/>
      <c r="J14" s="15"/>
      <c r="K14" s="14"/>
      <c r="L14" s="16"/>
      <c r="M14" s="17"/>
      <c r="N14" s="17"/>
      <c r="O14" s="17"/>
      <c r="P14" s="17"/>
      <c r="Q14" s="14"/>
      <c r="R14" s="14"/>
      <c r="Z14" s="1">
        <f>IF(A14="", "", VLOOKUP(A14, DanhSachCodeId, 3, FALSE))</f>
      </c>
      <c r="AA14" s="1">
        <f>IF(C14="", "", VLOOKUP(C14, DanhSachChungChi, 2, FALSE))</f>
      </c>
      <c r="AB14" s="1">
        <f>IF(F14="", "", VLOOKUP(F14, DanhSachDonViDaoTao, 2, FALSE))</f>
      </c>
      <c r="AC14" s="1">
        <f>IF(G14="", "", VLOOKUP(G14, DanhSachLevelId, 2, FALSE))</f>
      </c>
      <c r="AD14" s="1">
        <f>IF(H14="", "", VLOOKUP(H14, DanhSachLevelTrain, 2, FALSE))</f>
      </c>
      <c r="AE14" s="1">
        <f>IF(I14="", "", VLOOKUP(I14, DanhSachTrainingMethod, 2, FALSE))</f>
      </c>
    </row>
    <row r="15">
      <c r="A15" s="14"/>
      <c r="B15" s="14">
        <f>IF(A15="", "", VLOOKUP(A15, DanhSachNhanVien, 2, FALSE))</f>
      </c>
      <c r="C15" s="14"/>
      <c r="D15" s="14"/>
      <c r="E15" s="14"/>
      <c r="F15" s="14"/>
      <c r="G15" s="14"/>
      <c r="H15" s="14"/>
      <c r="I15" s="14"/>
      <c r="J15" s="15"/>
      <c r="K15" s="14"/>
      <c r="L15" s="16"/>
      <c r="M15" s="17"/>
      <c r="N15" s="17"/>
      <c r="O15" s="17"/>
      <c r="P15" s="17"/>
      <c r="Q15" s="14"/>
      <c r="R15" s="14"/>
      <c r="Z15" s="1">
        <f>IF(A15="", "", VLOOKUP(A15, DanhSachCodeId, 3, FALSE))</f>
      </c>
      <c r="AA15" s="1">
        <f>IF(C15="", "", VLOOKUP(C15, DanhSachChungChi, 2, FALSE))</f>
      </c>
      <c r="AB15" s="1">
        <f>IF(F15="", "", VLOOKUP(F15, DanhSachDonViDaoTao, 2, FALSE))</f>
      </c>
      <c r="AC15" s="1">
        <f>IF(G15="", "", VLOOKUP(G15, DanhSachLevelId, 2, FALSE))</f>
      </c>
      <c r="AD15" s="1">
        <f>IF(H15="", "", VLOOKUP(H15, DanhSachLevelTrain, 2, FALSE))</f>
      </c>
      <c r="AE15" s="1">
        <f>IF(I15="", "", VLOOKUP(I15, DanhSachTrainingMethod, 2, FALSE))</f>
      </c>
    </row>
    <row r="16">
      <c r="A16" s="14"/>
      <c r="B16" s="14">
        <f>IF(A16="", "", VLOOKUP(A16, DanhSachNhanVien, 2, FALSE))</f>
      </c>
      <c r="C16" s="14"/>
      <c r="D16" s="14"/>
      <c r="E16" s="14"/>
      <c r="F16" s="14"/>
      <c r="G16" s="14"/>
      <c r="H16" s="14"/>
      <c r="I16" s="14"/>
      <c r="J16" s="15"/>
      <c r="K16" s="14"/>
      <c r="L16" s="16"/>
      <c r="M16" s="17"/>
      <c r="N16" s="17"/>
      <c r="O16" s="17"/>
      <c r="P16" s="17"/>
      <c r="Q16" s="14"/>
      <c r="R16" s="14"/>
      <c r="Z16" s="1">
        <f>IF(A16="", "", VLOOKUP(A16, DanhSachCodeId, 3, FALSE))</f>
      </c>
      <c r="AA16" s="1">
        <f>IF(C16="", "", VLOOKUP(C16, DanhSachChungChi, 2, FALSE))</f>
      </c>
      <c r="AB16" s="1">
        <f>IF(F16="", "", VLOOKUP(F16, DanhSachDonViDaoTao, 2, FALSE))</f>
      </c>
      <c r="AC16" s="1">
        <f>IF(G16="", "", VLOOKUP(G16, DanhSachLevelId, 2, FALSE))</f>
      </c>
      <c r="AD16" s="1">
        <f>IF(H16="", "", VLOOKUP(H16, DanhSachLevelTrain, 2, FALSE))</f>
      </c>
      <c r="AE16" s="1">
        <f>IF(I16="", "", VLOOKUP(I16, DanhSachTrainingMethod, 2, FALSE))</f>
      </c>
    </row>
    <row r="17">
      <c r="A17" s="14"/>
      <c r="B17" s="14">
        <f>IF(A17="", "", VLOOKUP(A17, DanhSachNhanVien, 2, FALSE))</f>
      </c>
      <c r="C17" s="14"/>
      <c r="D17" s="14"/>
      <c r="E17" s="14"/>
      <c r="F17" s="14"/>
      <c r="G17" s="14"/>
      <c r="H17" s="14"/>
      <c r="I17" s="14"/>
      <c r="J17" s="15"/>
      <c r="K17" s="14"/>
      <c r="L17" s="16"/>
      <c r="M17" s="17"/>
      <c r="N17" s="17"/>
      <c r="O17" s="17"/>
      <c r="P17" s="17"/>
      <c r="Q17" s="14"/>
      <c r="R17" s="14"/>
      <c r="Z17" s="1">
        <f>IF(A17="", "", VLOOKUP(A17, DanhSachCodeId, 3, FALSE))</f>
      </c>
      <c r="AA17" s="1">
        <f>IF(C17="", "", VLOOKUP(C17, DanhSachChungChi, 2, FALSE))</f>
      </c>
      <c r="AB17" s="1">
        <f>IF(F17="", "", VLOOKUP(F17, DanhSachDonViDaoTao, 2, FALSE))</f>
      </c>
      <c r="AC17" s="1">
        <f>IF(G17="", "", VLOOKUP(G17, DanhSachLevelId, 2, FALSE))</f>
      </c>
      <c r="AD17" s="1">
        <f>IF(H17="", "", VLOOKUP(H17, DanhSachLevelTrain, 2, FALSE))</f>
      </c>
      <c r="AE17" s="1">
        <f>IF(I17="", "", VLOOKUP(I17, DanhSachTrainingMethod, 2, FALSE))</f>
      </c>
    </row>
    <row r="18">
      <c r="A18" s="14"/>
      <c r="B18" s="14">
        <f>IF(A18="", "", VLOOKUP(A18, DanhSachNhanVien, 2, FALSE))</f>
      </c>
      <c r="C18" s="14"/>
      <c r="D18" s="14"/>
      <c r="E18" s="14"/>
      <c r="F18" s="14"/>
      <c r="G18" s="14"/>
      <c r="H18" s="14"/>
      <c r="I18" s="14"/>
      <c r="J18" s="15"/>
      <c r="K18" s="14"/>
      <c r="L18" s="16"/>
      <c r="M18" s="17"/>
      <c r="N18" s="17"/>
      <c r="O18" s="17"/>
      <c r="P18" s="17"/>
      <c r="Q18" s="14"/>
      <c r="R18" s="14"/>
      <c r="Z18" s="1">
        <f>IF(A18="", "", VLOOKUP(A18, DanhSachCodeId, 3, FALSE))</f>
      </c>
      <c r="AA18" s="1">
        <f>IF(C18="", "", VLOOKUP(C18, DanhSachChungChi, 2, FALSE))</f>
      </c>
      <c r="AB18" s="1">
        <f>IF(F18="", "", VLOOKUP(F18, DanhSachDonViDaoTao, 2, FALSE))</f>
      </c>
      <c r="AC18" s="1">
        <f>IF(G18="", "", VLOOKUP(G18, DanhSachLevelId, 2, FALSE))</f>
      </c>
      <c r="AD18" s="1">
        <f>IF(H18="", "", VLOOKUP(H18, DanhSachLevelTrain, 2, FALSE))</f>
      </c>
      <c r="AE18" s="1">
        <f>IF(I18="", "", VLOOKUP(I18, DanhSachTrainingMethod, 2, FALSE))</f>
      </c>
    </row>
    <row r="19">
      <c r="A19" s="14"/>
      <c r="B19" s="14">
        <f>IF(A19="", "", VLOOKUP(A19, DanhSachNhanVien, 2, FALSE))</f>
      </c>
      <c r="C19" s="14"/>
      <c r="D19" s="14"/>
      <c r="E19" s="14"/>
      <c r="F19" s="14"/>
      <c r="G19" s="14"/>
      <c r="H19" s="14"/>
      <c r="I19" s="14"/>
      <c r="J19" s="15"/>
      <c r="K19" s="14"/>
      <c r="L19" s="16"/>
      <c r="M19" s="17"/>
      <c r="N19" s="17"/>
      <c r="O19" s="17"/>
      <c r="P19" s="17"/>
      <c r="Q19" s="14"/>
      <c r="R19" s="14"/>
      <c r="Z19" s="1">
        <f>IF(A19="", "", VLOOKUP(A19, DanhSachCodeId, 3, FALSE))</f>
      </c>
      <c r="AA19" s="1">
        <f>IF(C19="", "", VLOOKUP(C19, DanhSachChungChi, 2, FALSE))</f>
      </c>
      <c r="AB19" s="1">
        <f>IF(F19="", "", VLOOKUP(F19, DanhSachDonViDaoTao, 2, FALSE))</f>
      </c>
      <c r="AC19" s="1">
        <f>IF(G19="", "", VLOOKUP(G19, DanhSachLevelId, 2, FALSE))</f>
      </c>
      <c r="AD19" s="1">
        <f>IF(H19="", "", VLOOKUP(H19, DanhSachLevelTrain, 2, FALSE))</f>
      </c>
      <c r="AE19" s="1">
        <f>IF(I19="", "", VLOOKUP(I19, DanhSachTrainingMethod, 2, FALSE))</f>
      </c>
    </row>
    <row r="20">
      <c r="A20" s="14"/>
      <c r="B20" s="14">
        <f>IF(A20="", "", VLOOKUP(A20, DanhSachNhanVien, 2, FALSE))</f>
      </c>
      <c r="C20" s="14"/>
      <c r="D20" s="14"/>
      <c r="E20" s="14"/>
      <c r="F20" s="14"/>
      <c r="G20" s="14"/>
      <c r="H20" s="14"/>
      <c r="I20" s="14"/>
      <c r="J20" s="15"/>
      <c r="K20" s="14"/>
      <c r="L20" s="16"/>
      <c r="M20" s="17"/>
      <c r="N20" s="17"/>
      <c r="O20" s="17"/>
      <c r="P20" s="17"/>
      <c r="Q20" s="14"/>
      <c r="R20" s="14"/>
      <c r="Z20" s="1">
        <f>IF(A20="", "", VLOOKUP(A20, DanhSachCodeId, 3, FALSE))</f>
      </c>
      <c r="AA20" s="1">
        <f>IF(C20="", "", VLOOKUP(C20, DanhSachChungChi, 2, FALSE))</f>
      </c>
      <c r="AB20" s="1">
        <f>IF(F20="", "", VLOOKUP(F20, DanhSachDonViDaoTao, 2, FALSE))</f>
      </c>
      <c r="AC20" s="1">
        <f>IF(G20="", "", VLOOKUP(G20, DanhSachLevelId, 2, FALSE))</f>
      </c>
      <c r="AD20" s="1">
        <f>IF(H20="", "", VLOOKUP(H20, DanhSachLevelTrain, 2, FALSE))</f>
      </c>
      <c r="AE20" s="1">
        <f>IF(I20="", "", VLOOKUP(I20, DanhSachTrainingMethod, 2, FALSE))</f>
      </c>
    </row>
    <row r="21">
      <c r="A21" s="14"/>
      <c r="B21" s="14">
        <f>IF(A21="", "", VLOOKUP(A21, DanhSachNhanVien, 2, FALSE))</f>
      </c>
      <c r="C21" s="14"/>
      <c r="D21" s="14"/>
      <c r="E21" s="14"/>
      <c r="F21" s="14"/>
      <c r="G21" s="14"/>
      <c r="H21" s="14"/>
      <c r="I21" s="14"/>
      <c r="J21" s="15"/>
      <c r="K21" s="14"/>
      <c r="L21" s="16"/>
      <c r="M21" s="17"/>
      <c r="N21" s="17"/>
      <c r="O21" s="17"/>
      <c r="P21" s="17"/>
      <c r="Q21" s="14"/>
      <c r="R21" s="14"/>
      <c r="Z21" s="1">
        <f>IF(A21="", "", VLOOKUP(A21, DanhSachCodeId, 3, FALSE))</f>
      </c>
      <c r="AA21" s="1">
        <f>IF(C21="", "", VLOOKUP(C21, DanhSachChungChi, 2, FALSE))</f>
      </c>
      <c r="AB21" s="1">
        <f>IF(F21="", "", VLOOKUP(F21, DanhSachDonViDaoTao, 2, FALSE))</f>
      </c>
      <c r="AC21" s="1">
        <f>IF(G21="", "", VLOOKUP(G21, DanhSachLevelId, 2, FALSE))</f>
      </c>
      <c r="AD21" s="1">
        <f>IF(H21="", "", VLOOKUP(H21, DanhSachLevelTrain, 2, FALSE))</f>
      </c>
      <c r="AE21" s="1">
        <f>IF(I21="", "", VLOOKUP(I21, DanhSachTrainingMethod, 2, FALSE))</f>
      </c>
    </row>
    <row r="22">
      <c r="A22" s="14"/>
      <c r="B22" s="14">
        <f>IF(A22="", "", VLOOKUP(A22, DanhSachNhanVien, 2, FALSE))</f>
      </c>
      <c r="C22" s="14"/>
      <c r="D22" s="14"/>
      <c r="E22" s="14"/>
      <c r="F22" s="14"/>
      <c r="G22" s="14"/>
      <c r="H22" s="14"/>
      <c r="I22" s="14"/>
      <c r="J22" s="15"/>
      <c r="K22" s="14"/>
      <c r="L22" s="16"/>
      <c r="M22" s="17"/>
      <c r="N22" s="17"/>
      <c r="O22" s="17"/>
      <c r="P22" s="17"/>
      <c r="Q22" s="14"/>
      <c r="R22" s="14"/>
      <c r="Z22" s="1">
        <f>IF(A22="", "", VLOOKUP(A22, DanhSachCodeId, 3, FALSE))</f>
      </c>
      <c r="AA22" s="1">
        <f>IF(C22="", "", VLOOKUP(C22, DanhSachChungChi, 2, FALSE))</f>
      </c>
      <c r="AB22" s="1">
        <f>IF(F22="", "", VLOOKUP(F22, DanhSachDonViDaoTao, 2, FALSE))</f>
      </c>
      <c r="AC22" s="1">
        <f>IF(G22="", "", VLOOKUP(G22, DanhSachLevelId, 2, FALSE))</f>
      </c>
      <c r="AD22" s="1">
        <f>IF(H22="", "", VLOOKUP(H22, DanhSachLevelTrain, 2, FALSE))</f>
      </c>
      <c r="AE22" s="1">
        <f>IF(I22="", "", VLOOKUP(I22, DanhSachTrainingMethod, 2, FALSE))</f>
      </c>
    </row>
    <row r="23">
      <c r="A23" s="14"/>
      <c r="B23" s="14">
        <f>IF(A23="", "", VLOOKUP(A23, DanhSachNhanVien, 2, FALSE))</f>
      </c>
      <c r="C23" s="14"/>
      <c r="D23" s="14"/>
      <c r="E23" s="14"/>
      <c r="F23" s="14"/>
      <c r="G23" s="14"/>
      <c r="H23" s="14"/>
      <c r="I23" s="14"/>
      <c r="J23" s="15"/>
      <c r="K23" s="14"/>
      <c r="L23" s="16"/>
      <c r="M23" s="17"/>
      <c r="N23" s="17"/>
      <c r="O23" s="17"/>
      <c r="P23" s="17"/>
      <c r="Q23" s="14"/>
      <c r="R23" s="14"/>
      <c r="Z23" s="1">
        <f>IF(A23="", "", VLOOKUP(A23, DanhSachCodeId, 3, FALSE))</f>
      </c>
      <c r="AA23" s="1">
        <f>IF(C23="", "", VLOOKUP(C23, DanhSachChungChi, 2, FALSE))</f>
      </c>
      <c r="AB23" s="1">
        <f>IF(F23="", "", VLOOKUP(F23, DanhSachDonViDaoTao, 2, FALSE))</f>
      </c>
      <c r="AC23" s="1">
        <f>IF(G23="", "", VLOOKUP(G23, DanhSachLevelId, 2, FALSE))</f>
      </c>
      <c r="AD23" s="1">
        <f>IF(H23="", "", VLOOKUP(H23, DanhSachLevelTrain, 2, FALSE))</f>
      </c>
      <c r="AE23" s="1">
        <f>IF(I23="", "", VLOOKUP(I23, DanhSachTrainingMethod, 2, FALSE))</f>
      </c>
    </row>
    <row r="24">
      <c r="A24" s="14"/>
      <c r="B24" s="14">
        <f>IF(A24="", "", VLOOKUP(A24, DanhSachNhanVien, 2, FALSE))</f>
      </c>
      <c r="C24" s="14"/>
      <c r="D24" s="14"/>
      <c r="E24" s="14"/>
      <c r="F24" s="14"/>
      <c r="G24" s="14"/>
      <c r="H24" s="14"/>
      <c r="I24" s="14"/>
      <c r="J24" s="15"/>
      <c r="K24" s="14"/>
      <c r="L24" s="16"/>
      <c r="M24" s="17"/>
      <c r="N24" s="17"/>
      <c r="O24" s="17"/>
      <c r="P24" s="17"/>
      <c r="Q24" s="14"/>
      <c r="R24" s="14"/>
      <c r="Z24" s="1">
        <f>IF(A24="", "", VLOOKUP(A24, DanhSachCodeId, 3, FALSE))</f>
      </c>
      <c r="AA24" s="1">
        <f>IF(C24="", "", VLOOKUP(C24, DanhSachChungChi, 2, FALSE))</f>
      </c>
      <c r="AB24" s="1">
        <f>IF(F24="", "", VLOOKUP(F24, DanhSachDonViDaoTao, 2, FALSE))</f>
      </c>
      <c r="AC24" s="1">
        <f>IF(G24="", "", VLOOKUP(G24, DanhSachLevelId, 2, FALSE))</f>
      </c>
      <c r="AD24" s="1">
        <f>IF(H24="", "", VLOOKUP(H24, DanhSachLevelTrain, 2, FALSE))</f>
      </c>
      <c r="AE24" s="1">
        <f>IF(I24="", "", VLOOKUP(I24, DanhSachTrainingMethod, 2, FALSE))</f>
      </c>
    </row>
    <row r="25">
      <c r="A25" s="14"/>
      <c r="B25" s="14">
        <f>IF(A25="", "", VLOOKUP(A25, DanhSachNhanVien, 2, FALSE))</f>
      </c>
      <c r="C25" s="14"/>
      <c r="D25" s="14"/>
      <c r="E25" s="14"/>
      <c r="F25" s="14"/>
      <c r="G25" s="14"/>
      <c r="H25" s="14"/>
      <c r="I25" s="14"/>
      <c r="J25" s="15"/>
      <c r="K25" s="14"/>
      <c r="L25" s="16"/>
      <c r="M25" s="17"/>
      <c r="N25" s="17"/>
      <c r="O25" s="17"/>
      <c r="P25" s="17"/>
      <c r="Q25" s="14"/>
      <c r="R25" s="14"/>
      <c r="Z25" s="1">
        <f>IF(A25="", "", VLOOKUP(A25, DanhSachCodeId, 3, FALSE))</f>
      </c>
      <c r="AA25" s="1">
        <f>IF(C25="", "", VLOOKUP(C25, DanhSachChungChi, 2, FALSE))</f>
      </c>
      <c r="AB25" s="1">
        <f>IF(F25="", "", VLOOKUP(F25, DanhSachDonViDaoTao, 2, FALSE))</f>
      </c>
      <c r="AC25" s="1">
        <f>IF(G25="", "", VLOOKUP(G25, DanhSachLevelId, 2, FALSE))</f>
      </c>
      <c r="AD25" s="1">
        <f>IF(H25="", "", VLOOKUP(H25, DanhSachLevelTrain, 2, FALSE))</f>
      </c>
      <c r="AE25" s="1">
        <f>IF(I25="", "", VLOOKUP(I25, DanhSachTrainingMethod, 2, FALSE))</f>
      </c>
    </row>
    <row r="26">
      <c r="A26" s="14"/>
      <c r="B26" s="14">
        <f>IF(A26="", "", VLOOKUP(A26, DanhSachNhanVien, 2, FALSE))</f>
      </c>
      <c r="C26" s="14"/>
      <c r="D26" s="14"/>
      <c r="E26" s="14"/>
      <c r="F26" s="14"/>
      <c r="G26" s="14"/>
      <c r="H26" s="14"/>
      <c r="I26" s="14"/>
      <c r="J26" s="15"/>
      <c r="K26" s="14"/>
      <c r="L26" s="16"/>
      <c r="M26" s="17"/>
      <c r="N26" s="17"/>
      <c r="O26" s="17"/>
      <c r="P26" s="17"/>
      <c r="Q26" s="14"/>
      <c r="R26" s="14"/>
      <c r="Z26" s="1">
        <f>IF(A26="", "", VLOOKUP(A26, DanhSachCodeId, 3, FALSE))</f>
      </c>
      <c r="AA26" s="1">
        <f>IF(C26="", "", VLOOKUP(C26, DanhSachChungChi, 2, FALSE))</f>
      </c>
      <c r="AB26" s="1">
        <f>IF(F26="", "", VLOOKUP(F26, DanhSachDonViDaoTao, 2, FALSE))</f>
      </c>
      <c r="AC26" s="1">
        <f>IF(G26="", "", VLOOKUP(G26, DanhSachLevelId, 2, FALSE))</f>
      </c>
      <c r="AD26" s="1">
        <f>IF(H26="", "", VLOOKUP(H26, DanhSachLevelTrain, 2, FALSE))</f>
      </c>
      <c r="AE26" s="1">
        <f>IF(I26="", "", VLOOKUP(I26, DanhSachTrainingMethod, 2, FALSE))</f>
      </c>
    </row>
    <row r="27">
      <c r="A27" s="14"/>
      <c r="B27" s="14">
        <f>IF(A27="", "", VLOOKUP(A27, DanhSachNhanVien, 2, FALSE))</f>
      </c>
      <c r="C27" s="14"/>
      <c r="D27" s="14"/>
      <c r="E27" s="14"/>
      <c r="F27" s="14"/>
      <c r="G27" s="14"/>
      <c r="H27" s="14"/>
      <c r="I27" s="14"/>
      <c r="J27" s="15"/>
      <c r="K27" s="14"/>
      <c r="L27" s="16"/>
      <c r="M27" s="17"/>
      <c r="N27" s="17"/>
      <c r="O27" s="17"/>
      <c r="P27" s="17"/>
      <c r="Q27" s="14"/>
      <c r="R27" s="14"/>
      <c r="Z27" s="1">
        <f>IF(A27="", "", VLOOKUP(A27, DanhSachCodeId, 3, FALSE))</f>
      </c>
      <c r="AA27" s="1">
        <f>IF(C27="", "", VLOOKUP(C27, DanhSachChungChi, 2, FALSE))</f>
      </c>
      <c r="AB27" s="1">
        <f>IF(F27="", "", VLOOKUP(F27, DanhSachDonViDaoTao, 2, FALSE))</f>
      </c>
      <c r="AC27" s="1">
        <f>IF(G27="", "", VLOOKUP(G27, DanhSachLevelId, 2, FALSE))</f>
      </c>
      <c r="AD27" s="1">
        <f>IF(H27="", "", VLOOKUP(H27, DanhSachLevelTrain, 2, FALSE))</f>
      </c>
      <c r="AE27" s="1">
        <f>IF(I27="", "", VLOOKUP(I27, DanhSachTrainingMethod, 2, FALSE))</f>
      </c>
    </row>
    <row r="28">
      <c r="A28" s="14"/>
      <c r="B28" s="14">
        <f>IF(A28="", "", VLOOKUP(A28, DanhSachNhanVien, 2, FALSE))</f>
      </c>
      <c r="C28" s="14"/>
      <c r="D28" s="14"/>
      <c r="E28" s="14"/>
      <c r="F28" s="14"/>
      <c r="G28" s="14"/>
      <c r="H28" s="14"/>
      <c r="I28" s="14"/>
      <c r="J28" s="15"/>
      <c r="K28" s="14"/>
      <c r="L28" s="16"/>
      <c r="M28" s="17"/>
      <c r="N28" s="17"/>
      <c r="O28" s="17"/>
      <c r="P28" s="17"/>
      <c r="Q28" s="14"/>
      <c r="R28" s="14"/>
      <c r="Z28" s="1">
        <f>IF(A28="", "", VLOOKUP(A28, DanhSachCodeId, 3, FALSE))</f>
      </c>
      <c r="AA28" s="1">
        <f>IF(C28="", "", VLOOKUP(C28, DanhSachChungChi, 2, FALSE))</f>
      </c>
      <c r="AB28" s="1">
        <f>IF(F28="", "", VLOOKUP(F28, DanhSachDonViDaoTao, 2, FALSE))</f>
      </c>
      <c r="AC28" s="1">
        <f>IF(G28="", "", VLOOKUP(G28, DanhSachLevelId, 2, FALSE))</f>
      </c>
      <c r="AD28" s="1">
        <f>IF(H28="", "", VLOOKUP(H28, DanhSachLevelTrain, 2, FALSE))</f>
      </c>
      <c r="AE28" s="1">
        <f>IF(I28="", "", VLOOKUP(I28, DanhSachTrainingMethod, 2, FALSE))</f>
      </c>
    </row>
    <row r="29">
      <c r="A29" s="14"/>
      <c r="B29" s="14">
        <f>IF(A29="", "", VLOOKUP(A29, DanhSachNhanVien, 2, FALSE))</f>
      </c>
      <c r="C29" s="14"/>
      <c r="D29" s="14"/>
      <c r="E29" s="14"/>
      <c r="F29" s="14"/>
      <c r="G29" s="14"/>
      <c r="H29" s="14"/>
      <c r="I29" s="14"/>
      <c r="J29" s="15"/>
      <c r="K29" s="14"/>
      <c r="L29" s="16"/>
      <c r="M29" s="17"/>
      <c r="N29" s="17"/>
      <c r="O29" s="17"/>
      <c r="P29" s="17"/>
      <c r="Q29" s="14"/>
      <c r="R29" s="14"/>
      <c r="Z29" s="1">
        <f>IF(A29="", "", VLOOKUP(A29, DanhSachCodeId, 3, FALSE))</f>
      </c>
      <c r="AA29" s="1">
        <f>IF(C29="", "", VLOOKUP(C29, DanhSachChungChi, 2, FALSE))</f>
      </c>
      <c r="AB29" s="1">
        <f>IF(F29="", "", VLOOKUP(F29, DanhSachDonViDaoTao, 2, FALSE))</f>
      </c>
      <c r="AC29" s="1">
        <f>IF(G29="", "", VLOOKUP(G29, DanhSachLevelId, 2, FALSE))</f>
      </c>
      <c r="AD29" s="1">
        <f>IF(H29="", "", VLOOKUP(H29, DanhSachLevelTrain, 2, FALSE))</f>
      </c>
      <c r="AE29" s="1">
        <f>IF(I29="", "", VLOOKUP(I29, DanhSachTrainingMethod, 2, FALSE))</f>
      </c>
    </row>
    <row r="30">
      <c r="A30" s="14"/>
      <c r="B30" s="14">
        <f>IF(A30="", "", VLOOKUP(A30, DanhSachNhanVien, 2, FALSE))</f>
      </c>
      <c r="C30" s="14"/>
      <c r="D30" s="14"/>
      <c r="E30" s="14"/>
      <c r="F30" s="14"/>
      <c r="G30" s="14"/>
      <c r="H30" s="14"/>
      <c r="I30" s="14"/>
      <c r="J30" s="15"/>
      <c r="K30" s="14"/>
      <c r="L30" s="16"/>
      <c r="M30" s="17"/>
      <c r="N30" s="17"/>
      <c r="O30" s="17"/>
      <c r="P30" s="17"/>
      <c r="Q30" s="14"/>
      <c r="R30" s="14"/>
      <c r="Z30" s="1">
        <f>IF(A30="", "", VLOOKUP(A30, DanhSachCodeId, 3, FALSE))</f>
      </c>
      <c r="AA30" s="1">
        <f>IF(C30="", "", VLOOKUP(C30, DanhSachChungChi, 2, FALSE))</f>
      </c>
      <c r="AB30" s="1">
        <f>IF(F30="", "", VLOOKUP(F30, DanhSachDonViDaoTao, 2, FALSE))</f>
      </c>
      <c r="AC30" s="1">
        <f>IF(G30="", "", VLOOKUP(G30, DanhSachLevelId, 2, FALSE))</f>
      </c>
      <c r="AD30" s="1">
        <f>IF(H30="", "", VLOOKUP(H30, DanhSachLevelTrain, 2, FALSE))</f>
      </c>
      <c r="AE30" s="1">
        <f>IF(I30="", "", VLOOKUP(I30, DanhSachTrainingMethod, 2, FALSE))</f>
      </c>
    </row>
    <row r="31">
      <c r="A31" s="14"/>
      <c r="B31" s="14">
        <f>IF(A31="", "", VLOOKUP(A31, DanhSachNhanVien, 2, FALSE))</f>
      </c>
      <c r="C31" s="14"/>
      <c r="D31" s="14"/>
      <c r="E31" s="14"/>
      <c r="F31" s="14"/>
      <c r="G31" s="14"/>
      <c r="H31" s="14"/>
      <c r="I31" s="14"/>
      <c r="J31" s="15"/>
      <c r="K31" s="14"/>
      <c r="L31" s="16"/>
      <c r="M31" s="17"/>
      <c r="N31" s="17"/>
      <c r="O31" s="17"/>
      <c r="P31" s="17"/>
      <c r="Q31" s="14"/>
      <c r="R31" s="14"/>
      <c r="Z31" s="1">
        <f>IF(A31="", "", VLOOKUP(A31, DanhSachCodeId, 3, FALSE))</f>
      </c>
      <c r="AA31" s="1">
        <f>IF(C31="", "", VLOOKUP(C31, DanhSachChungChi, 2, FALSE))</f>
      </c>
      <c r="AB31" s="1">
        <f>IF(F31="", "", VLOOKUP(F31, DanhSachDonViDaoTao, 2, FALSE))</f>
      </c>
      <c r="AC31" s="1">
        <f>IF(G31="", "", VLOOKUP(G31, DanhSachLevelId, 2, FALSE))</f>
      </c>
      <c r="AD31" s="1">
        <f>IF(H31="", "", VLOOKUP(H31, DanhSachLevelTrain, 2, FALSE))</f>
      </c>
      <c r="AE31" s="1">
        <f>IF(I31="", "", VLOOKUP(I31, DanhSachTrainingMethod, 2, FALSE))</f>
      </c>
    </row>
    <row r="32">
      <c r="A32" s="14"/>
      <c r="B32" s="14">
        <f>IF(A32="", "", VLOOKUP(A32, DanhSachNhanVien, 2, FALSE))</f>
      </c>
      <c r="C32" s="14"/>
      <c r="D32" s="14"/>
      <c r="E32" s="14"/>
      <c r="F32" s="14"/>
      <c r="G32" s="14"/>
      <c r="H32" s="14"/>
      <c r="I32" s="14"/>
      <c r="J32" s="15"/>
      <c r="K32" s="14"/>
      <c r="L32" s="16"/>
      <c r="M32" s="17"/>
      <c r="N32" s="17"/>
      <c r="O32" s="17"/>
      <c r="P32" s="17"/>
      <c r="Q32" s="14"/>
      <c r="R32" s="14"/>
      <c r="Z32" s="1">
        <f>IF(A32="", "", VLOOKUP(A32, DanhSachCodeId, 3, FALSE))</f>
      </c>
      <c r="AA32" s="1">
        <f>IF(C32="", "", VLOOKUP(C32, DanhSachChungChi, 2, FALSE))</f>
      </c>
      <c r="AB32" s="1">
        <f>IF(F32="", "", VLOOKUP(F32, DanhSachDonViDaoTao, 2, FALSE))</f>
      </c>
      <c r="AC32" s="1">
        <f>IF(G32="", "", VLOOKUP(G32, DanhSachLevelId, 2, FALSE))</f>
      </c>
      <c r="AD32" s="1">
        <f>IF(H32="", "", VLOOKUP(H32, DanhSachLevelTrain, 2, FALSE))</f>
      </c>
      <c r="AE32" s="1">
        <f>IF(I32="", "", VLOOKUP(I32, DanhSachTrainingMethod, 2, FALSE))</f>
      </c>
    </row>
    <row r="33">
      <c r="A33" s="14"/>
      <c r="B33" s="14">
        <f>IF(A33="", "", VLOOKUP(A33, DanhSachNhanVien, 2, FALSE))</f>
      </c>
      <c r="C33" s="14"/>
      <c r="D33" s="14"/>
      <c r="E33" s="14"/>
      <c r="F33" s="14"/>
      <c r="G33" s="14"/>
      <c r="H33" s="14"/>
      <c r="I33" s="14"/>
      <c r="J33" s="15"/>
      <c r="K33" s="14"/>
      <c r="L33" s="16"/>
      <c r="M33" s="17"/>
      <c r="N33" s="17"/>
      <c r="O33" s="17"/>
      <c r="P33" s="17"/>
      <c r="Q33" s="14"/>
      <c r="R33" s="14"/>
      <c r="Z33" s="1">
        <f>IF(A33="", "", VLOOKUP(A33, DanhSachCodeId, 3, FALSE))</f>
      </c>
      <c r="AA33" s="1">
        <f>IF(C33="", "", VLOOKUP(C33, DanhSachChungChi, 2, FALSE))</f>
      </c>
      <c r="AB33" s="1">
        <f>IF(F33="", "", VLOOKUP(F33, DanhSachDonViDaoTao, 2, FALSE))</f>
      </c>
      <c r="AC33" s="1">
        <f>IF(G33="", "", VLOOKUP(G33, DanhSachLevelId, 2, FALSE))</f>
      </c>
      <c r="AD33" s="1">
        <f>IF(H33="", "", VLOOKUP(H33, DanhSachLevelTrain, 2, FALSE))</f>
      </c>
      <c r="AE33" s="1">
        <f>IF(I33="", "", VLOOKUP(I33, DanhSachTrainingMethod, 2, FALSE))</f>
      </c>
    </row>
    <row r="34">
      <c r="A34" s="14"/>
      <c r="B34" s="14">
        <f>IF(A34="", "", VLOOKUP(A34, DanhSachNhanVien, 2, FALSE))</f>
      </c>
      <c r="C34" s="14"/>
      <c r="D34" s="14"/>
      <c r="E34" s="14"/>
      <c r="F34" s="14"/>
      <c r="G34" s="14"/>
      <c r="H34" s="14"/>
      <c r="I34" s="14"/>
      <c r="J34" s="15"/>
      <c r="K34" s="14"/>
      <c r="L34" s="16"/>
      <c r="M34" s="17"/>
      <c r="N34" s="17"/>
      <c r="O34" s="17"/>
      <c r="P34" s="17"/>
      <c r="Q34" s="14"/>
      <c r="R34" s="14"/>
      <c r="Z34" s="1">
        <f>IF(A34="", "", VLOOKUP(A34, DanhSachCodeId, 3, FALSE))</f>
      </c>
      <c r="AA34" s="1">
        <f>IF(C34="", "", VLOOKUP(C34, DanhSachChungChi, 2, FALSE))</f>
      </c>
      <c r="AB34" s="1">
        <f>IF(F34="", "", VLOOKUP(F34, DanhSachDonViDaoTao, 2, FALSE))</f>
      </c>
      <c r="AC34" s="1">
        <f>IF(G34="", "", VLOOKUP(G34, DanhSachLevelId, 2, FALSE))</f>
      </c>
      <c r="AD34" s="1">
        <f>IF(H34="", "", VLOOKUP(H34, DanhSachLevelTrain, 2, FALSE))</f>
      </c>
      <c r="AE34" s="1">
        <f>IF(I34="", "", VLOOKUP(I34, DanhSachTrainingMethod, 2, FALSE))</f>
      </c>
    </row>
    <row r="35">
      <c r="A35" s="14"/>
      <c r="B35" s="14">
        <f>IF(A35="", "", VLOOKUP(A35, DanhSachNhanVien, 2, FALSE))</f>
      </c>
      <c r="C35" s="14"/>
      <c r="D35" s="14"/>
      <c r="E35" s="14"/>
      <c r="F35" s="14"/>
      <c r="G35" s="14"/>
      <c r="H35" s="14"/>
      <c r="I35" s="14"/>
      <c r="J35" s="15"/>
      <c r="K35" s="14"/>
      <c r="L35" s="16"/>
      <c r="M35" s="17"/>
      <c r="N35" s="17"/>
      <c r="O35" s="17"/>
      <c r="P35" s="17"/>
      <c r="Q35" s="14"/>
      <c r="R35" s="14"/>
      <c r="Z35" s="1">
        <f>IF(A35="", "", VLOOKUP(A35, DanhSachCodeId, 3, FALSE))</f>
      </c>
      <c r="AA35" s="1">
        <f>IF(C35="", "", VLOOKUP(C35, DanhSachChungChi, 2, FALSE))</f>
      </c>
      <c r="AB35" s="1">
        <f>IF(F35="", "", VLOOKUP(F35, DanhSachDonViDaoTao, 2, FALSE))</f>
      </c>
      <c r="AC35" s="1">
        <f>IF(G35="", "", VLOOKUP(G35, DanhSachLevelId, 2, FALSE))</f>
      </c>
      <c r="AD35" s="1">
        <f>IF(H35="", "", VLOOKUP(H35, DanhSachLevelTrain, 2, FALSE))</f>
      </c>
      <c r="AE35" s="1">
        <f>IF(I35="", "", VLOOKUP(I35, DanhSachTrainingMethod, 2, FALSE))</f>
      </c>
    </row>
    <row r="36">
      <c r="A36" s="14"/>
      <c r="B36" s="14">
        <f>IF(A36="", "", VLOOKUP(A36, DanhSachNhanVien, 2, FALSE))</f>
      </c>
      <c r="C36" s="14"/>
      <c r="D36" s="14"/>
      <c r="E36" s="14"/>
      <c r="F36" s="14"/>
      <c r="G36" s="14"/>
      <c r="H36" s="14"/>
      <c r="I36" s="14"/>
      <c r="J36" s="15"/>
      <c r="K36" s="14"/>
      <c r="L36" s="16"/>
      <c r="M36" s="17"/>
      <c r="N36" s="17"/>
      <c r="O36" s="17"/>
      <c r="P36" s="17"/>
      <c r="Q36" s="14"/>
      <c r="R36" s="14"/>
      <c r="Z36" s="1">
        <f>IF(A36="", "", VLOOKUP(A36, DanhSachCodeId, 3, FALSE))</f>
      </c>
      <c r="AA36" s="1">
        <f>IF(C36="", "", VLOOKUP(C36, DanhSachChungChi, 2, FALSE))</f>
      </c>
      <c r="AB36" s="1">
        <f>IF(F36="", "", VLOOKUP(F36, DanhSachDonViDaoTao, 2, FALSE))</f>
      </c>
      <c r="AC36" s="1">
        <f>IF(G36="", "", VLOOKUP(G36, DanhSachLevelId, 2, FALSE))</f>
      </c>
      <c r="AD36" s="1">
        <f>IF(H36="", "", VLOOKUP(H36, DanhSachLevelTrain, 2, FALSE))</f>
      </c>
      <c r="AE36" s="1">
        <f>IF(I36="", "", VLOOKUP(I36, DanhSachTrainingMethod, 2, FALSE))</f>
      </c>
    </row>
    <row r="37">
      <c r="A37" s="14"/>
      <c r="B37" s="14">
        <f>IF(A37="", "", VLOOKUP(A37, DanhSachNhanVien, 2, FALSE))</f>
      </c>
      <c r="C37" s="14"/>
      <c r="D37" s="14"/>
      <c r="E37" s="14"/>
      <c r="F37" s="14"/>
      <c r="G37" s="14"/>
      <c r="H37" s="14"/>
      <c r="I37" s="14"/>
      <c r="J37" s="15"/>
      <c r="K37" s="14"/>
      <c r="L37" s="16"/>
      <c r="M37" s="17"/>
      <c r="N37" s="17"/>
      <c r="O37" s="17"/>
      <c r="P37" s="17"/>
      <c r="Q37" s="14"/>
      <c r="R37" s="14"/>
      <c r="Z37" s="1">
        <f>IF(A37="", "", VLOOKUP(A37, DanhSachCodeId, 3, FALSE))</f>
      </c>
      <c r="AA37" s="1">
        <f>IF(C37="", "", VLOOKUP(C37, DanhSachChungChi, 2, FALSE))</f>
      </c>
      <c r="AB37" s="1">
        <f>IF(F37="", "", VLOOKUP(F37, DanhSachDonViDaoTao, 2, FALSE))</f>
      </c>
      <c r="AC37" s="1">
        <f>IF(G37="", "", VLOOKUP(G37, DanhSachLevelId, 2, FALSE))</f>
      </c>
      <c r="AD37" s="1">
        <f>IF(H37="", "", VLOOKUP(H37, DanhSachLevelTrain, 2, FALSE))</f>
      </c>
      <c r="AE37" s="1">
        <f>IF(I37="", "", VLOOKUP(I37, DanhSachTrainingMethod, 2, FALSE))</f>
      </c>
    </row>
    <row r="38">
      <c r="A38" s="14"/>
      <c r="B38" s="14">
        <f>IF(A38="", "", VLOOKUP(A38, DanhSachNhanVien, 2, FALSE))</f>
      </c>
      <c r="C38" s="14"/>
      <c r="D38" s="14"/>
      <c r="E38" s="14"/>
      <c r="F38" s="14"/>
      <c r="G38" s="14"/>
      <c r="H38" s="14"/>
      <c r="I38" s="14"/>
      <c r="J38" s="15"/>
      <c r="K38" s="14"/>
      <c r="L38" s="16"/>
      <c r="M38" s="17"/>
      <c r="N38" s="17"/>
      <c r="O38" s="17"/>
      <c r="P38" s="17"/>
      <c r="Q38" s="14"/>
      <c r="R38" s="14"/>
      <c r="Z38" s="1">
        <f>IF(A38="", "", VLOOKUP(A38, DanhSachCodeId, 3, FALSE))</f>
      </c>
      <c r="AA38" s="1">
        <f>IF(C38="", "", VLOOKUP(C38, DanhSachChungChi, 2, FALSE))</f>
      </c>
      <c r="AB38" s="1">
        <f>IF(F38="", "", VLOOKUP(F38, DanhSachDonViDaoTao, 2, FALSE))</f>
      </c>
      <c r="AC38" s="1">
        <f>IF(G38="", "", VLOOKUP(G38, DanhSachLevelId, 2, FALSE))</f>
      </c>
      <c r="AD38" s="1">
        <f>IF(H38="", "", VLOOKUP(H38, DanhSachLevelTrain, 2, FALSE))</f>
      </c>
      <c r="AE38" s="1">
        <f>IF(I38="", "", VLOOKUP(I38, DanhSachTrainingMethod, 2, FALSE))</f>
      </c>
    </row>
    <row r="39">
      <c r="A39" s="14"/>
      <c r="B39" s="14">
        <f>IF(A39="", "", VLOOKUP(A39, DanhSachNhanVien, 2, FALSE))</f>
      </c>
      <c r="C39" s="14"/>
      <c r="D39" s="14"/>
      <c r="E39" s="14"/>
      <c r="F39" s="14"/>
      <c r="G39" s="14"/>
      <c r="H39" s="14"/>
      <c r="I39" s="14"/>
      <c r="J39" s="15"/>
      <c r="K39" s="14"/>
      <c r="L39" s="16"/>
      <c r="M39" s="17"/>
      <c r="N39" s="17"/>
      <c r="O39" s="17"/>
      <c r="P39" s="17"/>
      <c r="Q39" s="14"/>
      <c r="R39" s="14"/>
      <c r="Z39" s="1">
        <f>IF(A39="", "", VLOOKUP(A39, DanhSachCodeId, 3, FALSE))</f>
      </c>
      <c r="AA39" s="1">
        <f>IF(C39="", "", VLOOKUP(C39, DanhSachChungChi, 2, FALSE))</f>
      </c>
      <c r="AB39" s="1">
        <f>IF(F39="", "", VLOOKUP(F39, DanhSachDonViDaoTao, 2, FALSE))</f>
      </c>
      <c r="AC39" s="1">
        <f>IF(G39="", "", VLOOKUP(G39, DanhSachLevelId, 2, FALSE))</f>
      </c>
      <c r="AD39" s="1">
        <f>IF(H39="", "", VLOOKUP(H39, DanhSachLevelTrain, 2, FALSE))</f>
      </c>
      <c r="AE39" s="1">
        <f>IF(I39="", "", VLOOKUP(I39, DanhSachTrainingMethod, 2, FALSE))</f>
      </c>
    </row>
    <row r="40">
      <c r="A40" s="14"/>
      <c r="B40" s="14">
        <f>IF(A40="", "", VLOOKUP(A40, DanhSachNhanVien, 2, FALSE))</f>
      </c>
      <c r="C40" s="14"/>
      <c r="D40" s="14"/>
      <c r="E40" s="14"/>
      <c r="F40" s="14"/>
      <c r="G40" s="14"/>
      <c r="H40" s="14"/>
      <c r="I40" s="14"/>
      <c r="J40" s="15"/>
      <c r="K40" s="14"/>
      <c r="L40" s="16"/>
      <c r="M40" s="17"/>
      <c r="N40" s="17"/>
      <c r="O40" s="17"/>
      <c r="P40" s="17"/>
      <c r="Q40" s="14"/>
      <c r="R40" s="14"/>
      <c r="Z40" s="1">
        <f>IF(A40="", "", VLOOKUP(A40, DanhSachCodeId, 3, FALSE))</f>
      </c>
      <c r="AA40" s="1">
        <f>IF(C40="", "", VLOOKUP(C40, DanhSachChungChi, 2, FALSE))</f>
      </c>
      <c r="AB40" s="1">
        <f>IF(F40="", "", VLOOKUP(F40, DanhSachDonViDaoTao, 2, FALSE))</f>
      </c>
      <c r="AC40" s="1">
        <f>IF(G40="", "", VLOOKUP(G40, DanhSachLevelId, 2, FALSE))</f>
      </c>
      <c r="AD40" s="1">
        <f>IF(H40="", "", VLOOKUP(H40, DanhSachLevelTrain, 2, FALSE))</f>
      </c>
      <c r="AE40" s="1">
        <f>IF(I40="", "", VLOOKUP(I40, DanhSachTrainingMethod, 2, FALSE))</f>
      </c>
    </row>
    <row r="41">
      <c r="A41" s="14"/>
      <c r="B41" s="14">
        <f>IF(A41="", "", VLOOKUP(A41, DanhSachNhanVien, 2, FALSE))</f>
      </c>
      <c r="C41" s="14"/>
      <c r="D41" s="14"/>
      <c r="E41" s="14"/>
      <c r="F41" s="14"/>
      <c r="G41" s="14"/>
      <c r="H41" s="14"/>
      <c r="I41" s="14"/>
      <c r="J41" s="15"/>
      <c r="K41" s="14"/>
      <c r="L41" s="16"/>
      <c r="M41" s="17"/>
      <c r="N41" s="17"/>
      <c r="O41" s="17"/>
      <c r="P41" s="17"/>
      <c r="Q41" s="14"/>
      <c r="R41" s="14"/>
      <c r="Z41" s="1">
        <f>IF(A41="", "", VLOOKUP(A41, DanhSachCodeId, 3, FALSE))</f>
      </c>
      <c r="AA41" s="1">
        <f>IF(C41="", "", VLOOKUP(C41, DanhSachChungChi, 2, FALSE))</f>
      </c>
      <c r="AB41" s="1">
        <f>IF(F41="", "", VLOOKUP(F41, DanhSachDonViDaoTao, 2, FALSE))</f>
      </c>
      <c r="AC41" s="1">
        <f>IF(G41="", "", VLOOKUP(G41, DanhSachLevelId, 2, FALSE))</f>
      </c>
      <c r="AD41" s="1">
        <f>IF(H41="", "", VLOOKUP(H41, DanhSachLevelTrain, 2, FALSE))</f>
      </c>
      <c r="AE41" s="1">
        <f>IF(I41="", "", VLOOKUP(I41, DanhSachTrainingMethod, 2, FALSE))</f>
      </c>
    </row>
    <row r="42">
      <c r="A42" s="14"/>
      <c r="B42" s="14">
        <f>IF(A42="", "", VLOOKUP(A42, DanhSachNhanVien, 2, FALSE))</f>
      </c>
      <c r="C42" s="14"/>
      <c r="D42" s="14"/>
      <c r="E42" s="14"/>
      <c r="F42" s="14"/>
      <c r="G42" s="14"/>
      <c r="H42" s="14"/>
      <c r="I42" s="14"/>
      <c r="J42" s="15"/>
      <c r="K42" s="14"/>
      <c r="L42" s="16"/>
      <c r="M42" s="17"/>
      <c r="N42" s="17"/>
      <c r="O42" s="17"/>
      <c r="P42" s="17"/>
      <c r="Q42" s="14"/>
      <c r="R42" s="14"/>
      <c r="Z42" s="1">
        <f>IF(A42="", "", VLOOKUP(A42, DanhSachCodeId, 3, FALSE))</f>
      </c>
      <c r="AA42" s="1">
        <f>IF(C42="", "", VLOOKUP(C42, DanhSachChungChi, 2, FALSE))</f>
      </c>
      <c r="AB42" s="1">
        <f>IF(F42="", "", VLOOKUP(F42, DanhSachDonViDaoTao, 2, FALSE))</f>
      </c>
      <c r="AC42" s="1">
        <f>IF(G42="", "", VLOOKUP(G42, DanhSachLevelId, 2, FALSE))</f>
      </c>
      <c r="AD42" s="1">
        <f>IF(H42="", "", VLOOKUP(H42, DanhSachLevelTrain, 2, FALSE))</f>
      </c>
      <c r="AE42" s="1">
        <f>IF(I42="", "", VLOOKUP(I42, DanhSachTrainingMethod, 2, FALSE))</f>
      </c>
    </row>
    <row r="43">
      <c r="A43" s="14"/>
      <c r="B43" s="14">
        <f>IF(A43="", "", VLOOKUP(A43, DanhSachNhanVien, 2, FALSE))</f>
      </c>
      <c r="C43" s="14"/>
      <c r="D43" s="14"/>
      <c r="E43" s="14"/>
      <c r="F43" s="14"/>
      <c r="G43" s="14"/>
      <c r="H43" s="14"/>
      <c r="I43" s="14"/>
      <c r="J43" s="15"/>
      <c r="K43" s="14"/>
      <c r="L43" s="16"/>
      <c r="M43" s="17"/>
      <c r="N43" s="17"/>
      <c r="O43" s="17"/>
      <c r="P43" s="17"/>
      <c r="Q43" s="14"/>
      <c r="R43" s="14"/>
      <c r="Z43" s="1">
        <f>IF(A43="", "", VLOOKUP(A43, DanhSachCodeId, 3, FALSE))</f>
      </c>
      <c r="AA43" s="1">
        <f>IF(C43="", "", VLOOKUP(C43, DanhSachChungChi, 2, FALSE))</f>
      </c>
      <c r="AB43" s="1">
        <f>IF(F43="", "", VLOOKUP(F43, DanhSachDonViDaoTao, 2, FALSE))</f>
      </c>
      <c r="AC43" s="1">
        <f>IF(G43="", "", VLOOKUP(G43, DanhSachLevelId, 2, FALSE))</f>
      </c>
      <c r="AD43" s="1">
        <f>IF(H43="", "", VLOOKUP(H43, DanhSachLevelTrain, 2, FALSE))</f>
      </c>
      <c r="AE43" s="1">
        <f>IF(I43="", "", VLOOKUP(I43, DanhSachTrainingMethod, 2, FALSE))</f>
      </c>
    </row>
    <row r="44">
      <c r="A44" s="14"/>
      <c r="B44" s="14">
        <f>IF(A44="", "", VLOOKUP(A44, DanhSachNhanVien, 2, FALSE))</f>
      </c>
      <c r="C44" s="14"/>
      <c r="D44" s="14"/>
      <c r="E44" s="14"/>
      <c r="F44" s="14"/>
      <c r="G44" s="14"/>
      <c r="H44" s="14"/>
      <c r="I44" s="14"/>
      <c r="J44" s="15"/>
      <c r="K44" s="14"/>
      <c r="L44" s="16"/>
      <c r="M44" s="17"/>
      <c r="N44" s="17"/>
      <c r="O44" s="17"/>
      <c r="P44" s="17"/>
      <c r="Q44" s="14"/>
      <c r="R44" s="14"/>
      <c r="Z44" s="1">
        <f>IF(A44="", "", VLOOKUP(A44, DanhSachCodeId, 3, FALSE))</f>
      </c>
      <c r="AA44" s="1">
        <f>IF(C44="", "", VLOOKUP(C44, DanhSachChungChi, 2, FALSE))</f>
      </c>
      <c r="AB44" s="1">
        <f>IF(F44="", "", VLOOKUP(F44, DanhSachDonViDaoTao, 2, FALSE))</f>
      </c>
      <c r="AC44" s="1">
        <f>IF(G44="", "", VLOOKUP(G44, DanhSachLevelId, 2, FALSE))</f>
      </c>
      <c r="AD44" s="1">
        <f>IF(H44="", "", VLOOKUP(H44, DanhSachLevelTrain, 2, FALSE))</f>
      </c>
      <c r="AE44" s="1">
        <f>IF(I44="", "", VLOOKUP(I44, DanhSachTrainingMethod, 2, FALSE))</f>
      </c>
    </row>
    <row r="45">
      <c r="A45" s="14"/>
      <c r="B45" s="14">
        <f>IF(A45="", "", VLOOKUP(A45, DanhSachNhanVien, 2, FALSE))</f>
      </c>
      <c r="C45" s="14"/>
      <c r="D45" s="14"/>
      <c r="E45" s="14"/>
      <c r="F45" s="14"/>
      <c r="G45" s="14"/>
      <c r="H45" s="14"/>
      <c r="I45" s="14"/>
      <c r="J45" s="15"/>
      <c r="K45" s="14"/>
      <c r="L45" s="16"/>
      <c r="M45" s="17"/>
      <c r="N45" s="17"/>
      <c r="O45" s="17"/>
      <c r="P45" s="17"/>
      <c r="Q45" s="14"/>
      <c r="R45" s="14"/>
      <c r="Z45" s="1">
        <f>IF(A45="", "", VLOOKUP(A45, DanhSachCodeId, 3, FALSE))</f>
      </c>
      <c r="AA45" s="1">
        <f>IF(C45="", "", VLOOKUP(C45, DanhSachChungChi, 2, FALSE))</f>
      </c>
      <c r="AB45" s="1">
        <f>IF(F45="", "", VLOOKUP(F45, DanhSachDonViDaoTao, 2, FALSE))</f>
      </c>
      <c r="AC45" s="1">
        <f>IF(G45="", "", VLOOKUP(G45, DanhSachLevelId, 2, FALSE))</f>
      </c>
      <c r="AD45" s="1">
        <f>IF(H45="", "", VLOOKUP(H45, DanhSachLevelTrain, 2, FALSE))</f>
      </c>
      <c r="AE45" s="1">
        <f>IF(I45="", "", VLOOKUP(I45, DanhSachTrainingMethod, 2, FALSE))</f>
      </c>
    </row>
    <row r="46">
      <c r="A46" s="14"/>
      <c r="B46" s="14">
        <f>IF(A46="", "", VLOOKUP(A46, DanhSachNhanVien, 2, FALSE))</f>
      </c>
      <c r="C46" s="14"/>
      <c r="D46" s="14"/>
      <c r="E46" s="14"/>
      <c r="F46" s="14"/>
      <c r="G46" s="14"/>
      <c r="H46" s="14"/>
      <c r="I46" s="14"/>
      <c r="J46" s="15"/>
      <c r="K46" s="14"/>
      <c r="L46" s="16"/>
      <c r="M46" s="17"/>
      <c r="N46" s="17"/>
      <c r="O46" s="17"/>
      <c r="P46" s="17"/>
      <c r="Q46" s="14"/>
      <c r="R46" s="14"/>
      <c r="Z46" s="1">
        <f>IF(A46="", "", VLOOKUP(A46, DanhSachCodeId, 3, FALSE))</f>
      </c>
      <c r="AA46" s="1">
        <f>IF(C46="", "", VLOOKUP(C46, DanhSachChungChi, 2, FALSE))</f>
      </c>
      <c r="AB46" s="1">
        <f>IF(F46="", "", VLOOKUP(F46, DanhSachDonViDaoTao, 2, FALSE))</f>
      </c>
      <c r="AC46" s="1">
        <f>IF(G46="", "", VLOOKUP(G46, DanhSachLevelId, 2, FALSE))</f>
      </c>
      <c r="AD46" s="1">
        <f>IF(H46="", "", VLOOKUP(H46, DanhSachLevelTrain, 2, FALSE))</f>
      </c>
      <c r="AE46" s="1">
        <f>IF(I46="", "", VLOOKUP(I46, DanhSachTrainingMethod, 2, FALSE))</f>
      </c>
    </row>
    <row r="47">
      <c r="A47" s="14"/>
      <c r="B47" s="14">
        <f>IF(A47="", "", VLOOKUP(A47, DanhSachNhanVien, 2, FALSE))</f>
      </c>
      <c r="C47" s="14"/>
      <c r="D47" s="14"/>
      <c r="E47" s="14"/>
      <c r="F47" s="14"/>
      <c r="G47" s="14"/>
      <c r="H47" s="14"/>
      <c r="I47" s="14"/>
      <c r="J47" s="15"/>
      <c r="K47" s="14"/>
      <c r="L47" s="16"/>
      <c r="M47" s="17"/>
      <c r="N47" s="17"/>
      <c r="O47" s="17"/>
      <c r="P47" s="17"/>
      <c r="Q47" s="14"/>
      <c r="R47" s="14"/>
      <c r="Z47" s="1">
        <f>IF(A47="", "", VLOOKUP(A47, DanhSachCodeId, 3, FALSE))</f>
      </c>
      <c r="AA47" s="1">
        <f>IF(C47="", "", VLOOKUP(C47, DanhSachChungChi, 2, FALSE))</f>
      </c>
      <c r="AB47" s="1">
        <f>IF(F47="", "", VLOOKUP(F47, DanhSachDonViDaoTao, 2, FALSE))</f>
      </c>
      <c r="AC47" s="1">
        <f>IF(G47="", "", VLOOKUP(G47, DanhSachLevelId, 2, FALSE))</f>
      </c>
      <c r="AD47" s="1">
        <f>IF(H47="", "", VLOOKUP(H47, DanhSachLevelTrain, 2, FALSE))</f>
      </c>
      <c r="AE47" s="1">
        <f>IF(I47="", "", VLOOKUP(I47, DanhSachTrainingMethod, 2, FALSE))</f>
      </c>
    </row>
    <row r="48">
      <c r="A48" s="14"/>
      <c r="B48" s="14">
        <f>IF(A48="", "", VLOOKUP(A48, DanhSachNhanVien, 2, FALSE))</f>
      </c>
      <c r="C48" s="14"/>
      <c r="D48" s="14"/>
      <c r="E48" s="14"/>
      <c r="F48" s="14"/>
      <c r="G48" s="14"/>
      <c r="H48" s="14"/>
      <c r="I48" s="14"/>
      <c r="J48" s="15"/>
      <c r="K48" s="14"/>
      <c r="L48" s="16"/>
      <c r="M48" s="17"/>
      <c r="N48" s="17"/>
      <c r="O48" s="17"/>
      <c r="P48" s="17"/>
      <c r="Q48" s="14"/>
      <c r="R48" s="14"/>
      <c r="Z48" s="1">
        <f>IF(A48="", "", VLOOKUP(A48, DanhSachCodeId, 3, FALSE))</f>
      </c>
      <c r="AA48" s="1">
        <f>IF(C48="", "", VLOOKUP(C48, DanhSachChungChi, 2, FALSE))</f>
      </c>
      <c r="AB48" s="1">
        <f>IF(F48="", "", VLOOKUP(F48, DanhSachDonViDaoTao, 2, FALSE))</f>
      </c>
      <c r="AC48" s="1">
        <f>IF(G48="", "", VLOOKUP(G48, DanhSachLevelId, 2, FALSE))</f>
      </c>
      <c r="AD48" s="1">
        <f>IF(H48="", "", VLOOKUP(H48, DanhSachLevelTrain, 2, FALSE))</f>
      </c>
      <c r="AE48" s="1">
        <f>IF(I48="", "", VLOOKUP(I48, DanhSachTrainingMethod, 2, FALSE))</f>
      </c>
    </row>
    <row r="49">
      <c r="A49" s="14"/>
      <c r="B49" s="14">
        <f>IF(A49="", "", VLOOKUP(A49, DanhSachNhanVien, 2, FALSE))</f>
      </c>
      <c r="C49" s="14"/>
      <c r="D49" s="14"/>
      <c r="E49" s="14"/>
      <c r="F49" s="14"/>
      <c r="G49" s="14"/>
      <c r="H49" s="14"/>
      <c r="I49" s="14"/>
      <c r="J49" s="15"/>
      <c r="K49" s="14"/>
      <c r="L49" s="16"/>
      <c r="M49" s="17"/>
      <c r="N49" s="17"/>
      <c r="O49" s="17"/>
      <c r="P49" s="17"/>
      <c r="Q49" s="14"/>
      <c r="R49" s="14"/>
      <c r="Z49" s="1">
        <f>IF(A49="", "", VLOOKUP(A49, DanhSachCodeId, 3, FALSE))</f>
      </c>
      <c r="AA49" s="1">
        <f>IF(C49="", "", VLOOKUP(C49, DanhSachChungChi, 2, FALSE))</f>
      </c>
      <c r="AB49" s="1">
        <f>IF(F49="", "", VLOOKUP(F49, DanhSachDonViDaoTao, 2, FALSE))</f>
      </c>
      <c r="AC49" s="1">
        <f>IF(G49="", "", VLOOKUP(G49, DanhSachLevelId, 2, FALSE))</f>
      </c>
      <c r="AD49" s="1">
        <f>IF(H49="", "", VLOOKUP(H49, DanhSachLevelTrain, 2, FALSE))</f>
      </c>
      <c r="AE49" s="1">
        <f>IF(I49="", "", VLOOKUP(I49, DanhSachTrainingMethod, 2, FALSE))</f>
      </c>
    </row>
    <row r="50">
      <c r="A50" s="14"/>
      <c r="B50" s="14">
        <f>IF(A50="", "", VLOOKUP(A50, DanhSachNhanVien, 2, FALSE))</f>
      </c>
      <c r="C50" s="14"/>
      <c r="D50" s="14"/>
      <c r="E50" s="14"/>
      <c r="F50" s="14"/>
      <c r="G50" s="14"/>
      <c r="H50" s="14"/>
      <c r="I50" s="14"/>
      <c r="J50" s="15"/>
      <c r="K50" s="14"/>
      <c r="L50" s="16"/>
      <c r="M50" s="17"/>
      <c r="N50" s="17"/>
      <c r="O50" s="17"/>
      <c r="P50" s="17"/>
      <c r="Q50" s="14"/>
      <c r="R50" s="14"/>
      <c r="Z50" s="1">
        <f>IF(A50="", "", VLOOKUP(A50, DanhSachCodeId, 3, FALSE))</f>
      </c>
      <c r="AA50" s="1">
        <f>IF(C50="", "", VLOOKUP(C50, DanhSachChungChi, 2, FALSE))</f>
      </c>
      <c r="AB50" s="1">
        <f>IF(F50="", "", VLOOKUP(F50, DanhSachDonViDaoTao, 2, FALSE))</f>
      </c>
      <c r="AC50" s="1">
        <f>IF(G50="", "", VLOOKUP(G50, DanhSachLevelId, 2, FALSE))</f>
      </c>
      <c r="AD50" s="1">
        <f>IF(H50="", "", VLOOKUP(H50, DanhSachLevelTrain, 2, FALSE))</f>
      </c>
      <c r="AE50" s="1">
        <f>IF(I50="", "", VLOOKUP(I50, DanhSachTrainingMethod, 2, FALSE))</f>
      </c>
    </row>
    <row r="51">
      <c r="A51" s="14"/>
      <c r="B51" s="14">
        <f>IF(A51="", "", VLOOKUP(A51, DanhSachNhanVien, 2, FALSE))</f>
      </c>
      <c r="C51" s="14"/>
      <c r="D51" s="14"/>
      <c r="E51" s="14"/>
      <c r="F51" s="14"/>
      <c r="G51" s="14"/>
      <c r="H51" s="14"/>
      <c r="I51" s="14"/>
      <c r="J51" s="15"/>
      <c r="K51" s="14"/>
      <c r="L51" s="16"/>
      <c r="M51" s="17"/>
      <c r="N51" s="17"/>
      <c r="O51" s="17"/>
      <c r="P51" s="17"/>
      <c r="Q51" s="14"/>
      <c r="R51" s="14"/>
      <c r="Z51" s="1">
        <f>IF(A51="", "", VLOOKUP(A51, DanhSachCodeId, 3, FALSE))</f>
      </c>
      <c r="AA51" s="1">
        <f>IF(C51="", "", VLOOKUP(C51, DanhSachChungChi, 2, FALSE))</f>
      </c>
      <c r="AB51" s="1">
        <f>IF(F51="", "", VLOOKUP(F51, DanhSachDonViDaoTao, 2, FALSE))</f>
      </c>
      <c r="AC51" s="1">
        <f>IF(G51="", "", VLOOKUP(G51, DanhSachLevelId, 2, FALSE))</f>
      </c>
      <c r="AD51" s="1">
        <f>IF(H51="", "", VLOOKUP(H51, DanhSachLevelTrain, 2, FALSE))</f>
      </c>
      <c r="AE51" s="1">
        <f>IF(I51="", "", VLOOKUP(I51, DanhSachTrainingMethod, 2, FALSE))</f>
      </c>
    </row>
    <row r="52">
      <c r="A52" s="14"/>
      <c r="B52" s="14">
        <f>IF(A52="", "", VLOOKUP(A52, DanhSachNhanVien, 2, FALSE))</f>
      </c>
      <c r="C52" s="14"/>
      <c r="D52" s="14"/>
      <c r="E52" s="14"/>
      <c r="F52" s="14"/>
      <c r="G52" s="14"/>
      <c r="H52" s="14"/>
      <c r="I52" s="14"/>
      <c r="J52" s="15"/>
      <c r="K52" s="14"/>
      <c r="L52" s="16"/>
      <c r="M52" s="17"/>
      <c r="N52" s="17"/>
      <c r="O52" s="17"/>
      <c r="P52" s="17"/>
      <c r="Q52" s="14"/>
      <c r="R52" s="14"/>
      <c r="Z52" s="1">
        <f>IF(A52="", "", VLOOKUP(A52, DanhSachCodeId, 3, FALSE))</f>
      </c>
      <c r="AA52" s="1">
        <f>IF(C52="", "", VLOOKUP(C52, DanhSachChungChi, 2, FALSE))</f>
      </c>
      <c r="AB52" s="1">
        <f>IF(F52="", "", VLOOKUP(F52, DanhSachDonViDaoTao, 2, FALSE))</f>
      </c>
      <c r="AC52" s="1">
        <f>IF(G52="", "", VLOOKUP(G52, DanhSachLevelId, 2, FALSE))</f>
      </c>
      <c r="AD52" s="1">
        <f>IF(H52="", "", VLOOKUP(H52, DanhSachLevelTrain, 2, FALSE))</f>
      </c>
      <c r="AE52" s="1">
        <f>IF(I52="", "", VLOOKUP(I52, DanhSachTrainingMethod, 2, FALSE))</f>
      </c>
    </row>
    <row r="53">
      <c r="A53" s="14"/>
      <c r="B53" s="14">
        <f>IF(A53="", "", VLOOKUP(A53, DanhSachNhanVien, 2, FALSE))</f>
      </c>
      <c r="C53" s="14"/>
      <c r="D53" s="14"/>
      <c r="E53" s="14"/>
      <c r="F53" s="14"/>
      <c r="G53" s="14"/>
      <c r="H53" s="14"/>
      <c r="I53" s="14"/>
      <c r="J53" s="15"/>
      <c r="K53" s="14"/>
      <c r="L53" s="16"/>
      <c r="M53" s="17"/>
      <c r="N53" s="17"/>
      <c r="O53" s="17"/>
      <c r="P53" s="17"/>
      <c r="Q53" s="14"/>
      <c r="R53" s="14"/>
      <c r="Z53" s="1">
        <f>IF(A53="", "", VLOOKUP(A53, DanhSachCodeId, 3, FALSE))</f>
      </c>
      <c r="AA53" s="1">
        <f>IF(C53="", "", VLOOKUP(C53, DanhSachChungChi, 2, FALSE))</f>
      </c>
      <c r="AB53" s="1">
        <f>IF(F53="", "", VLOOKUP(F53, DanhSachDonViDaoTao, 2, FALSE))</f>
      </c>
      <c r="AC53" s="1">
        <f>IF(G53="", "", VLOOKUP(G53, DanhSachLevelId, 2, FALSE))</f>
      </c>
      <c r="AD53" s="1">
        <f>IF(H53="", "", VLOOKUP(H53, DanhSachLevelTrain, 2, FALSE))</f>
      </c>
      <c r="AE53" s="1">
        <f>IF(I53="", "", VLOOKUP(I53, DanhSachTrainingMethod, 2, FALSE))</f>
      </c>
    </row>
    <row r="54">
      <c r="A54" s="14"/>
      <c r="B54" s="14">
        <f>IF(A54="", "", VLOOKUP(A54, DanhSachNhanVien, 2, FALSE))</f>
      </c>
      <c r="C54" s="14"/>
      <c r="D54" s="14"/>
      <c r="E54" s="14"/>
      <c r="F54" s="14"/>
      <c r="G54" s="14"/>
      <c r="H54" s="14"/>
      <c r="I54" s="14"/>
      <c r="J54" s="15"/>
      <c r="K54" s="14"/>
      <c r="L54" s="16"/>
      <c r="M54" s="17"/>
      <c r="N54" s="17"/>
      <c r="O54" s="17"/>
      <c r="P54" s="17"/>
      <c r="Q54" s="14"/>
      <c r="R54" s="14"/>
      <c r="Z54" s="1">
        <f>IF(A54="", "", VLOOKUP(A54, DanhSachCodeId, 3, FALSE))</f>
      </c>
      <c r="AA54" s="1">
        <f>IF(C54="", "", VLOOKUP(C54, DanhSachChungChi, 2, FALSE))</f>
      </c>
      <c r="AB54" s="1">
        <f>IF(F54="", "", VLOOKUP(F54, DanhSachDonViDaoTao, 2, FALSE))</f>
      </c>
      <c r="AC54" s="1">
        <f>IF(G54="", "", VLOOKUP(G54, DanhSachLevelId, 2, FALSE))</f>
      </c>
      <c r="AD54" s="1">
        <f>IF(H54="", "", VLOOKUP(H54, DanhSachLevelTrain, 2, FALSE))</f>
      </c>
      <c r="AE54" s="1">
        <f>IF(I54="", "", VLOOKUP(I54, DanhSachTrainingMethod, 2, FALSE))</f>
      </c>
    </row>
    <row r="55">
      <c r="A55" s="14"/>
      <c r="B55" s="14">
        <f>IF(A55="", "", VLOOKUP(A55, DanhSachNhanVien, 2, FALSE))</f>
      </c>
      <c r="C55" s="14"/>
      <c r="D55" s="14"/>
      <c r="E55" s="14"/>
      <c r="F55" s="14"/>
      <c r="G55" s="14"/>
      <c r="H55" s="14"/>
      <c r="I55" s="14"/>
      <c r="J55" s="15"/>
      <c r="K55" s="14"/>
      <c r="L55" s="16"/>
      <c r="M55" s="17"/>
      <c r="N55" s="17"/>
      <c r="O55" s="17"/>
      <c r="P55" s="17"/>
      <c r="Q55" s="14"/>
      <c r="R55" s="14"/>
      <c r="Z55" s="1">
        <f>IF(A55="", "", VLOOKUP(A55, DanhSachCodeId, 3, FALSE))</f>
      </c>
      <c r="AA55" s="1">
        <f>IF(C55="", "", VLOOKUP(C55, DanhSachChungChi, 2, FALSE))</f>
      </c>
      <c r="AB55" s="1">
        <f>IF(F55="", "", VLOOKUP(F55, DanhSachDonViDaoTao, 2, FALSE))</f>
      </c>
      <c r="AC55" s="1">
        <f>IF(G55="", "", VLOOKUP(G55, DanhSachLevelId, 2, FALSE))</f>
      </c>
      <c r="AD55" s="1">
        <f>IF(H55="", "", VLOOKUP(H55, DanhSachLevelTrain, 2, FALSE))</f>
      </c>
      <c r="AE55" s="1">
        <f>IF(I55="", "", VLOOKUP(I55, DanhSachTrainingMethod, 2, FALSE))</f>
      </c>
    </row>
    <row r="56">
      <c r="A56" s="14"/>
      <c r="B56" s="14">
        <f>IF(A56="", "", VLOOKUP(A56, DanhSachNhanVien, 2, FALSE))</f>
      </c>
      <c r="C56" s="14"/>
      <c r="D56" s="14"/>
      <c r="E56" s="14"/>
      <c r="F56" s="14"/>
      <c r="G56" s="14"/>
      <c r="H56" s="14"/>
      <c r="I56" s="14"/>
      <c r="J56" s="15"/>
      <c r="K56" s="14"/>
      <c r="L56" s="16"/>
      <c r="M56" s="17"/>
      <c r="N56" s="17"/>
      <c r="O56" s="17"/>
      <c r="P56" s="17"/>
      <c r="Q56" s="14"/>
      <c r="R56" s="14"/>
      <c r="Z56" s="1">
        <f>IF(A56="", "", VLOOKUP(A56, DanhSachCodeId, 3, FALSE))</f>
      </c>
      <c r="AA56" s="1">
        <f>IF(C56="", "", VLOOKUP(C56, DanhSachChungChi, 2, FALSE))</f>
      </c>
      <c r="AB56" s="1">
        <f>IF(F56="", "", VLOOKUP(F56, DanhSachDonViDaoTao, 2, FALSE))</f>
      </c>
      <c r="AC56" s="1">
        <f>IF(G56="", "", VLOOKUP(G56, DanhSachLevelId, 2, FALSE))</f>
      </c>
      <c r="AD56" s="1">
        <f>IF(H56="", "", VLOOKUP(H56, DanhSachLevelTrain, 2, FALSE))</f>
      </c>
      <c r="AE56" s="1">
        <f>IF(I56="", "", VLOOKUP(I56, DanhSachTrainingMethod, 2, FALSE))</f>
      </c>
    </row>
    <row r="57">
      <c r="A57" s="14"/>
      <c r="B57" s="14">
        <f>IF(A57="", "", VLOOKUP(A57, DanhSachNhanVien, 2, FALSE))</f>
      </c>
      <c r="C57" s="14"/>
      <c r="D57" s="14"/>
      <c r="E57" s="14"/>
      <c r="F57" s="14"/>
      <c r="G57" s="14"/>
      <c r="H57" s="14"/>
      <c r="I57" s="14"/>
      <c r="J57" s="15"/>
      <c r="K57" s="14"/>
      <c r="L57" s="16"/>
      <c r="M57" s="17"/>
      <c r="N57" s="17"/>
      <c r="O57" s="17"/>
      <c r="P57" s="17"/>
      <c r="Q57" s="14"/>
      <c r="R57" s="14"/>
      <c r="Z57" s="1">
        <f>IF(A57="", "", VLOOKUP(A57, DanhSachCodeId, 3, FALSE))</f>
      </c>
      <c r="AA57" s="1">
        <f>IF(C57="", "", VLOOKUP(C57, DanhSachChungChi, 2, FALSE))</f>
      </c>
      <c r="AB57" s="1">
        <f>IF(F57="", "", VLOOKUP(F57, DanhSachDonViDaoTao, 2, FALSE))</f>
      </c>
      <c r="AC57" s="1">
        <f>IF(G57="", "", VLOOKUP(G57, DanhSachLevelId, 2, FALSE))</f>
      </c>
      <c r="AD57" s="1">
        <f>IF(H57="", "", VLOOKUP(H57, DanhSachLevelTrain, 2, FALSE))</f>
      </c>
      <c r="AE57" s="1">
        <f>IF(I57="", "", VLOOKUP(I57, DanhSachTrainingMethod, 2, FALSE))</f>
      </c>
    </row>
    <row r="58">
      <c r="A58" s="14"/>
      <c r="B58" s="14">
        <f>IF(A58="", "", VLOOKUP(A58, DanhSachNhanVien, 2, FALSE))</f>
      </c>
      <c r="C58" s="14"/>
      <c r="D58" s="14"/>
      <c r="E58" s="14"/>
      <c r="F58" s="14"/>
      <c r="G58" s="14"/>
      <c r="H58" s="14"/>
      <c r="I58" s="14"/>
      <c r="J58" s="15"/>
      <c r="K58" s="14"/>
      <c r="L58" s="16"/>
      <c r="M58" s="17"/>
      <c r="N58" s="17"/>
      <c r="O58" s="17"/>
      <c r="P58" s="17"/>
      <c r="Q58" s="14"/>
      <c r="R58" s="14"/>
      <c r="Z58" s="1">
        <f>IF(A58="", "", VLOOKUP(A58, DanhSachCodeId, 3, FALSE))</f>
      </c>
      <c r="AA58" s="1">
        <f>IF(C58="", "", VLOOKUP(C58, DanhSachChungChi, 2, FALSE))</f>
      </c>
      <c r="AB58" s="1">
        <f>IF(F58="", "", VLOOKUP(F58, DanhSachDonViDaoTao, 2, FALSE))</f>
      </c>
      <c r="AC58" s="1">
        <f>IF(G58="", "", VLOOKUP(G58, DanhSachLevelId, 2, FALSE))</f>
      </c>
      <c r="AD58" s="1">
        <f>IF(H58="", "", VLOOKUP(H58, DanhSachLevelTrain, 2, FALSE))</f>
      </c>
      <c r="AE58" s="1">
        <f>IF(I58="", "", VLOOKUP(I58, DanhSachTrainingMethod, 2, FALSE))</f>
      </c>
    </row>
    <row r="59">
      <c r="A59" s="14"/>
      <c r="B59" s="14">
        <f>IF(A59="", "", VLOOKUP(A59, DanhSachNhanVien, 2, FALSE))</f>
      </c>
      <c r="C59" s="14"/>
      <c r="D59" s="14"/>
      <c r="E59" s="14"/>
      <c r="F59" s="14"/>
      <c r="G59" s="14"/>
      <c r="H59" s="14"/>
      <c r="I59" s="14"/>
      <c r="J59" s="15"/>
      <c r="K59" s="14"/>
      <c r="L59" s="16"/>
      <c r="M59" s="17"/>
      <c r="N59" s="17"/>
      <c r="O59" s="17"/>
      <c r="P59" s="17"/>
      <c r="Q59" s="14"/>
      <c r="R59" s="14"/>
      <c r="Z59" s="1">
        <f>IF(A59="", "", VLOOKUP(A59, DanhSachCodeId, 3, FALSE))</f>
      </c>
      <c r="AA59" s="1">
        <f>IF(C59="", "", VLOOKUP(C59, DanhSachChungChi, 2, FALSE))</f>
      </c>
      <c r="AB59" s="1">
        <f>IF(F59="", "", VLOOKUP(F59, DanhSachDonViDaoTao, 2, FALSE))</f>
      </c>
      <c r="AC59" s="1">
        <f>IF(G59="", "", VLOOKUP(G59, DanhSachLevelId, 2, FALSE))</f>
      </c>
      <c r="AD59" s="1">
        <f>IF(H59="", "", VLOOKUP(H59, DanhSachLevelTrain, 2, FALSE))</f>
      </c>
      <c r="AE59" s="1">
        <f>IF(I59="", "", VLOOKUP(I59, DanhSachTrainingMethod, 2, FALSE))</f>
      </c>
    </row>
    <row r="60">
      <c r="A60" s="14"/>
      <c r="B60" s="14">
        <f>IF(A60="", "", VLOOKUP(A60, DanhSachNhanVien, 2, FALSE))</f>
      </c>
      <c r="C60" s="14"/>
      <c r="D60" s="14"/>
      <c r="E60" s="14"/>
      <c r="F60" s="14"/>
      <c r="G60" s="14"/>
      <c r="H60" s="14"/>
      <c r="I60" s="14"/>
      <c r="J60" s="15"/>
      <c r="K60" s="14"/>
      <c r="L60" s="16"/>
      <c r="M60" s="17"/>
      <c r="N60" s="17"/>
      <c r="O60" s="17"/>
      <c r="P60" s="17"/>
      <c r="Q60" s="14"/>
      <c r="R60" s="14"/>
      <c r="Z60" s="1">
        <f>IF(A60="", "", VLOOKUP(A60, DanhSachCodeId, 3, FALSE))</f>
      </c>
      <c r="AA60" s="1">
        <f>IF(C60="", "", VLOOKUP(C60, DanhSachChungChi, 2, FALSE))</f>
      </c>
      <c r="AB60" s="1">
        <f>IF(F60="", "", VLOOKUP(F60, DanhSachDonViDaoTao, 2, FALSE))</f>
      </c>
      <c r="AC60" s="1">
        <f>IF(G60="", "", VLOOKUP(G60, DanhSachLevelId, 2, FALSE))</f>
      </c>
      <c r="AD60" s="1">
        <f>IF(H60="", "", VLOOKUP(H60, DanhSachLevelTrain, 2, FALSE))</f>
      </c>
      <c r="AE60" s="1">
        <f>IF(I60="", "", VLOOKUP(I60, DanhSachTrainingMethod, 2, FALSE))</f>
      </c>
    </row>
    <row r="61">
      <c r="A61" s="14"/>
      <c r="B61" s="14">
        <f>IF(A61="", "", VLOOKUP(A61, DanhSachNhanVien, 2, FALSE))</f>
      </c>
      <c r="C61" s="14"/>
      <c r="D61" s="14"/>
      <c r="E61" s="14"/>
      <c r="F61" s="14"/>
      <c r="G61" s="14"/>
      <c r="H61" s="14"/>
      <c r="I61" s="14"/>
      <c r="J61" s="15"/>
      <c r="K61" s="14"/>
      <c r="L61" s="16"/>
      <c r="M61" s="17"/>
      <c r="N61" s="17"/>
      <c r="O61" s="17"/>
      <c r="P61" s="17"/>
      <c r="Q61" s="14"/>
      <c r="R61" s="14"/>
      <c r="Z61" s="1">
        <f>IF(A61="", "", VLOOKUP(A61, DanhSachCodeId, 3, FALSE))</f>
      </c>
      <c r="AA61" s="1">
        <f>IF(C61="", "", VLOOKUP(C61, DanhSachChungChi, 2, FALSE))</f>
      </c>
      <c r="AB61" s="1">
        <f>IF(F61="", "", VLOOKUP(F61, DanhSachDonViDaoTao, 2, FALSE))</f>
      </c>
      <c r="AC61" s="1">
        <f>IF(G61="", "", VLOOKUP(G61, DanhSachLevelId, 2, FALSE))</f>
      </c>
      <c r="AD61" s="1">
        <f>IF(H61="", "", VLOOKUP(H61, DanhSachLevelTrain, 2, FALSE))</f>
      </c>
      <c r="AE61" s="1">
        <f>IF(I61="", "", VLOOKUP(I61, DanhSachTrainingMethod, 2, FALSE))</f>
      </c>
    </row>
    <row r="62">
      <c r="A62" s="14"/>
      <c r="B62" s="14">
        <f>IF(A62="", "", VLOOKUP(A62, DanhSachNhanVien, 2, FALSE))</f>
      </c>
      <c r="C62" s="14"/>
      <c r="D62" s="14"/>
      <c r="E62" s="14"/>
      <c r="F62" s="14"/>
      <c r="G62" s="14"/>
      <c r="H62" s="14"/>
      <c r="I62" s="14"/>
      <c r="J62" s="15"/>
      <c r="K62" s="14"/>
      <c r="L62" s="16"/>
      <c r="M62" s="17"/>
      <c r="N62" s="17"/>
      <c r="O62" s="17"/>
      <c r="P62" s="17"/>
      <c r="Q62" s="14"/>
      <c r="R62" s="14"/>
      <c r="Z62" s="1">
        <f>IF(A62="", "", VLOOKUP(A62, DanhSachCodeId, 3, FALSE))</f>
      </c>
      <c r="AA62" s="1">
        <f>IF(C62="", "", VLOOKUP(C62, DanhSachChungChi, 2, FALSE))</f>
      </c>
      <c r="AB62" s="1">
        <f>IF(F62="", "", VLOOKUP(F62, DanhSachDonViDaoTao, 2, FALSE))</f>
      </c>
      <c r="AC62" s="1">
        <f>IF(G62="", "", VLOOKUP(G62, DanhSachLevelId, 2, FALSE))</f>
      </c>
      <c r="AD62" s="1">
        <f>IF(H62="", "", VLOOKUP(H62, DanhSachLevelTrain, 2, FALSE))</f>
      </c>
      <c r="AE62" s="1">
        <f>IF(I62="", "", VLOOKUP(I62, DanhSachTrainingMethod, 2, FALSE))</f>
      </c>
    </row>
    <row r="63">
      <c r="A63" s="14"/>
      <c r="B63" s="14">
        <f>IF(A63="", "", VLOOKUP(A63, DanhSachNhanVien, 2, FALSE))</f>
      </c>
      <c r="C63" s="14"/>
      <c r="D63" s="14"/>
      <c r="E63" s="14"/>
      <c r="F63" s="14"/>
      <c r="G63" s="14"/>
      <c r="H63" s="14"/>
      <c r="I63" s="14"/>
      <c r="J63" s="15"/>
      <c r="K63" s="14"/>
      <c r="L63" s="16"/>
      <c r="M63" s="17"/>
      <c r="N63" s="17"/>
      <c r="O63" s="17"/>
      <c r="P63" s="17"/>
      <c r="Q63" s="14"/>
      <c r="R63" s="14"/>
      <c r="Z63" s="1">
        <f>IF(A63="", "", VLOOKUP(A63, DanhSachCodeId, 3, FALSE))</f>
      </c>
      <c r="AA63" s="1">
        <f>IF(C63="", "", VLOOKUP(C63, DanhSachChungChi, 2, FALSE))</f>
      </c>
      <c r="AB63" s="1">
        <f>IF(F63="", "", VLOOKUP(F63, DanhSachDonViDaoTao, 2, FALSE))</f>
      </c>
      <c r="AC63" s="1">
        <f>IF(G63="", "", VLOOKUP(G63, DanhSachLevelId, 2, FALSE))</f>
      </c>
      <c r="AD63" s="1">
        <f>IF(H63="", "", VLOOKUP(H63, DanhSachLevelTrain, 2, FALSE))</f>
      </c>
      <c r="AE63" s="1">
        <f>IF(I63="", "", VLOOKUP(I63, DanhSachTrainingMethod, 2, FALSE))</f>
      </c>
    </row>
    <row r="64">
      <c r="A64" s="14"/>
      <c r="B64" s="14">
        <f>IF(A64="", "", VLOOKUP(A64, DanhSachNhanVien, 2, FALSE))</f>
      </c>
      <c r="C64" s="14"/>
      <c r="D64" s="14"/>
      <c r="E64" s="14"/>
      <c r="F64" s="14"/>
      <c r="G64" s="14"/>
      <c r="H64" s="14"/>
      <c r="I64" s="14"/>
      <c r="J64" s="15"/>
      <c r="K64" s="14"/>
      <c r="L64" s="16"/>
      <c r="M64" s="17"/>
      <c r="N64" s="17"/>
      <c r="O64" s="17"/>
      <c r="P64" s="17"/>
      <c r="Q64" s="14"/>
      <c r="R64" s="14"/>
      <c r="Z64" s="1">
        <f>IF(A64="", "", VLOOKUP(A64, DanhSachCodeId, 3, FALSE))</f>
      </c>
      <c r="AA64" s="1">
        <f>IF(C64="", "", VLOOKUP(C64, DanhSachChungChi, 2, FALSE))</f>
      </c>
      <c r="AB64" s="1">
        <f>IF(F64="", "", VLOOKUP(F64, DanhSachDonViDaoTao, 2, FALSE))</f>
      </c>
      <c r="AC64" s="1">
        <f>IF(G64="", "", VLOOKUP(G64, DanhSachLevelId, 2, FALSE))</f>
      </c>
      <c r="AD64" s="1">
        <f>IF(H64="", "", VLOOKUP(H64, DanhSachLevelTrain, 2, FALSE))</f>
      </c>
      <c r="AE64" s="1">
        <f>IF(I64="", "", VLOOKUP(I64, DanhSachTrainingMethod, 2, FALSE))</f>
      </c>
    </row>
    <row r="65">
      <c r="A65" s="14"/>
      <c r="B65" s="14">
        <f>IF(A65="", "", VLOOKUP(A65, DanhSachNhanVien, 2, FALSE))</f>
      </c>
      <c r="C65" s="14"/>
      <c r="D65" s="14"/>
      <c r="E65" s="14"/>
      <c r="F65" s="14"/>
      <c r="G65" s="14"/>
      <c r="H65" s="14"/>
      <c r="I65" s="14"/>
      <c r="J65" s="15"/>
      <c r="K65" s="14"/>
      <c r="L65" s="16"/>
      <c r="M65" s="17"/>
      <c r="N65" s="17"/>
      <c r="O65" s="17"/>
      <c r="P65" s="17"/>
      <c r="Q65" s="14"/>
      <c r="R65" s="14"/>
      <c r="Z65" s="1">
        <f>IF(A65="", "", VLOOKUP(A65, DanhSachCodeId, 3, FALSE))</f>
      </c>
      <c r="AA65" s="1">
        <f>IF(C65="", "", VLOOKUP(C65, DanhSachChungChi, 2, FALSE))</f>
      </c>
      <c r="AB65" s="1">
        <f>IF(F65="", "", VLOOKUP(F65, DanhSachDonViDaoTao, 2, FALSE))</f>
      </c>
      <c r="AC65" s="1">
        <f>IF(G65="", "", VLOOKUP(G65, DanhSachLevelId, 2, FALSE))</f>
      </c>
      <c r="AD65" s="1">
        <f>IF(H65="", "", VLOOKUP(H65, DanhSachLevelTrain, 2, FALSE))</f>
      </c>
      <c r="AE65" s="1">
        <f>IF(I65="", "", VLOOKUP(I65, DanhSachTrainingMethod, 2, FALSE))</f>
      </c>
    </row>
    <row r="66">
      <c r="A66" s="14"/>
      <c r="B66" s="14">
        <f>IF(A66="", "", VLOOKUP(A66, DanhSachNhanVien, 2, FALSE))</f>
      </c>
      <c r="C66" s="14"/>
      <c r="D66" s="14"/>
      <c r="E66" s="14"/>
      <c r="F66" s="14"/>
      <c r="G66" s="14"/>
      <c r="H66" s="14"/>
      <c r="I66" s="14"/>
      <c r="J66" s="15"/>
      <c r="K66" s="14"/>
      <c r="L66" s="16"/>
      <c r="M66" s="17"/>
      <c r="N66" s="17"/>
      <c r="O66" s="17"/>
      <c r="P66" s="17"/>
      <c r="Q66" s="14"/>
      <c r="R66" s="14"/>
      <c r="Z66" s="1">
        <f>IF(A66="", "", VLOOKUP(A66, DanhSachCodeId, 3, FALSE))</f>
      </c>
      <c r="AA66" s="1">
        <f>IF(C66="", "", VLOOKUP(C66, DanhSachChungChi, 2, FALSE))</f>
      </c>
      <c r="AB66" s="1">
        <f>IF(F66="", "", VLOOKUP(F66, DanhSachDonViDaoTao, 2, FALSE))</f>
      </c>
      <c r="AC66" s="1">
        <f>IF(G66="", "", VLOOKUP(G66, DanhSachLevelId, 2, FALSE))</f>
      </c>
      <c r="AD66" s="1">
        <f>IF(H66="", "", VLOOKUP(H66, DanhSachLevelTrain, 2, FALSE))</f>
      </c>
      <c r="AE66" s="1">
        <f>IF(I66="", "", VLOOKUP(I66, DanhSachTrainingMethod, 2, FALSE))</f>
      </c>
    </row>
    <row r="67">
      <c r="A67" s="14"/>
      <c r="B67" s="14">
        <f>IF(A67="", "", VLOOKUP(A67, DanhSachNhanVien, 2, FALSE))</f>
      </c>
      <c r="C67" s="14"/>
      <c r="D67" s="14"/>
      <c r="E67" s="14"/>
      <c r="F67" s="14"/>
      <c r="G67" s="14"/>
      <c r="H67" s="14"/>
      <c r="I67" s="14"/>
      <c r="J67" s="15"/>
      <c r="K67" s="14"/>
      <c r="L67" s="16"/>
      <c r="M67" s="17"/>
      <c r="N67" s="17"/>
      <c r="O67" s="17"/>
      <c r="P67" s="17"/>
      <c r="Q67" s="14"/>
      <c r="R67" s="14"/>
      <c r="Z67" s="1">
        <f>IF(A67="", "", VLOOKUP(A67, DanhSachCodeId, 3, FALSE))</f>
      </c>
      <c r="AA67" s="1">
        <f>IF(C67="", "", VLOOKUP(C67, DanhSachChungChi, 2, FALSE))</f>
      </c>
      <c r="AB67" s="1">
        <f>IF(F67="", "", VLOOKUP(F67, DanhSachDonViDaoTao, 2, FALSE))</f>
      </c>
      <c r="AC67" s="1">
        <f>IF(G67="", "", VLOOKUP(G67, DanhSachLevelId, 2, FALSE))</f>
      </c>
      <c r="AD67" s="1">
        <f>IF(H67="", "", VLOOKUP(H67, DanhSachLevelTrain, 2, FALSE))</f>
      </c>
      <c r="AE67" s="1">
        <f>IF(I67="", "", VLOOKUP(I67, DanhSachTrainingMethod, 2, FALSE))</f>
      </c>
    </row>
    <row r="68">
      <c r="A68" s="14"/>
      <c r="B68" s="14">
        <f>IF(A68="", "", VLOOKUP(A68, DanhSachNhanVien, 2, FALSE))</f>
      </c>
      <c r="C68" s="14"/>
      <c r="D68" s="14"/>
      <c r="E68" s="14"/>
      <c r="F68" s="14"/>
      <c r="G68" s="14"/>
      <c r="H68" s="14"/>
      <c r="I68" s="14"/>
      <c r="J68" s="15"/>
      <c r="K68" s="14"/>
      <c r="L68" s="16"/>
      <c r="M68" s="17"/>
      <c r="N68" s="17"/>
      <c r="O68" s="17"/>
      <c r="P68" s="17"/>
      <c r="Q68" s="14"/>
      <c r="R68" s="14"/>
      <c r="Z68" s="1">
        <f>IF(A68="", "", VLOOKUP(A68, DanhSachCodeId, 3, FALSE))</f>
      </c>
      <c r="AA68" s="1">
        <f>IF(C68="", "", VLOOKUP(C68, DanhSachChungChi, 2, FALSE))</f>
      </c>
      <c r="AB68" s="1">
        <f>IF(F68="", "", VLOOKUP(F68, DanhSachDonViDaoTao, 2, FALSE))</f>
      </c>
      <c r="AC68" s="1">
        <f>IF(G68="", "", VLOOKUP(G68, DanhSachLevelId, 2, FALSE))</f>
      </c>
      <c r="AD68" s="1">
        <f>IF(H68="", "", VLOOKUP(H68, DanhSachLevelTrain, 2, FALSE))</f>
      </c>
      <c r="AE68" s="1">
        <f>IF(I68="", "", VLOOKUP(I68, DanhSachTrainingMethod, 2, FALSE))</f>
      </c>
    </row>
    <row r="69">
      <c r="A69" s="14"/>
      <c r="B69" s="14">
        <f>IF(A69="", "", VLOOKUP(A69, DanhSachNhanVien, 2, FALSE))</f>
      </c>
      <c r="C69" s="14"/>
      <c r="D69" s="14"/>
      <c r="E69" s="14"/>
      <c r="F69" s="14"/>
      <c r="G69" s="14"/>
      <c r="H69" s="14"/>
      <c r="I69" s="14"/>
      <c r="J69" s="15"/>
      <c r="K69" s="14"/>
      <c r="L69" s="16"/>
      <c r="M69" s="17"/>
      <c r="N69" s="17"/>
      <c r="O69" s="17"/>
      <c r="P69" s="17"/>
      <c r="Q69" s="14"/>
      <c r="R69" s="14"/>
      <c r="Z69" s="1">
        <f>IF(A69="", "", VLOOKUP(A69, DanhSachCodeId, 3, FALSE))</f>
      </c>
      <c r="AA69" s="1">
        <f>IF(C69="", "", VLOOKUP(C69, DanhSachChungChi, 2, FALSE))</f>
      </c>
      <c r="AB69" s="1">
        <f>IF(F69="", "", VLOOKUP(F69, DanhSachDonViDaoTao, 2, FALSE))</f>
      </c>
      <c r="AC69" s="1">
        <f>IF(G69="", "", VLOOKUP(G69, DanhSachLevelId, 2, FALSE))</f>
      </c>
      <c r="AD69" s="1">
        <f>IF(H69="", "", VLOOKUP(H69, DanhSachLevelTrain, 2, FALSE))</f>
      </c>
      <c r="AE69" s="1">
        <f>IF(I69="", "", VLOOKUP(I69, DanhSachTrainingMethod, 2, FALSE))</f>
      </c>
    </row>
    <row r="70">
      <c r="A70" s="14"/>
      <c r="B70" s="14">
        <f>IF(A70="", "", VLOOKUP(A70, DanhSachNhanVien, 2, FALSE))</f>
      </c>
      <c r="C70" s="14"/>
      <c r="D70" s="14"/>
      <c r="E70" s="14"/>
      <c r="F70" s="14"/>
      <c r="G70" s="14"/>
      <c r="H70" s="14"/>
      <c r="I70" s="14"/>
      <c r="J70" s="15"/>
      <c r="K70" s="14"/>
      <c r="L70" s="16"/>
      <c r="M70" s="17"/>
      <c r="N70" s="17"/>
      <c r="O70" s="17"/>
      <c r="P70" s="17"/>
      <c r="Q70" s="14"/>
      <c r="R70" s="14"/>
      <c r="Z70" s="1">
        <f>IF(A70="", "", VLOOKUP(A70, DanhSachCodeId, 3, FALSE))</f>
      </c>
      <c r="AA70" s="1">
        <f>IF(C70="", "", VLOOKUP(C70, DanhSachChungChi, 2, FALSE))</f>
      </c>
      <c r="AB70" s="1">
        <f>IF(F70="", "", VLOOKUP(F70, DanhSachDonViDaoTao, 2, FALSE))</f>
      </c>
      <c r="AC70" s="1">
        <f>IF(G70="", "", VLOOKUP(G70, DanhSachLevelId, 2, FALSE))</f>
      </c>
      <c r="AD70" s="1">
        <f>IF(H70="", "", VLOOKUP(H70, DanhSachLevelTrain, 2, FALSE))</f>
      </c>
      <c r="AE70" s="1">
        <f>IF(I70="", "", VLOOKUP(I70, DanhSachTrainingMethod, 2, FALSE))</f>
      </c>
    </row>
    <row r="71">
      <c r="A71" s="14"/>
      <c r="B71" s="14">
        <f>IF(A71="", "", VLOOKUP(A71, DanhSachNhanVien, 2, FALSE))</f>
      </c>
      <c r="C71" s="14"/>
      <c r="D71" s="14"/>
      <c r="E71" s="14"/>
      <c r="F71" s="14"/>
      <c r="G71" s="14"/>
      <c r="H71" s="14"/>
      <c r="I71" s="14"/>
      <c r="J71" s="15"/>
      <c r="K71" s="14"/>
      <c r="L71" s="16"/>
      <c r="M71" s="17"/>
      <c r="N71" s="17"/>
      <c r="O71" s="17"/>
      <c r="P71" s="17"/>
      <c r="Q71" s="14"/>
      <c r="R71" s="14"/>
      <c r="Z71" s="1">
        <f>IF(A71="", "", VLOOKUP(A71, DanhSachCodeId, 3, FALSE))</f>
      </c>
      <c r="AA71" s="1">
        <f>IF(C71="", "", VLOOKUP(C71, DanhSachChungChi, 2, FALSE))</f>
      </c>
      <c r="AB71" s="1">
        <f>IF(F71="", "", VLOOKUP(F71, DanhSachDonViDaoTao, 2, FALSE))</f>
      </c>
      <c r="AC71" s="1">
        <f>IF(G71="", "", VLOOKUP(G71, DanhSachLevelId, 2, FALSE))</f>
      </c>
      <c r="AD71" s="1">
        <f>IF(H71="", "", VLOOKUP(H71, DanhSachLevelTrain, 2, FALSE))</f>
      </c>
      <c r="AE71" s="1">
        <f>IF(I71="", "", VLOOKUP(I71, DanhSachTrainingMethod, 2, FALSE))</f>
      </c>
    </row>
    <row r="72">
      <c r="A72" s="14"/>
      <c r="B72" s="14">
        <f>IF(A72="", "", VLOOKUP(A72, DanhSachNhanVien, 2, FALSE))</f>
      </c>
      <c r="C72" s="14"/>
      <c r="D72" s="14"/>
      <c r="E72" s="14"/>
      <c r="F72" s="14"/>
      <c r="G72" s="14"/>
      <c r="H72" s="14"/>
      <c r="I72" s="14"/>
      <c r="J72" s="15"/>
      <c r="K72" s="14"/>
      <c r="L72" s="16"/>
      <c r="M72" s="17"/>
      <c r="N72" s="17"/>
      <c r="O72" s="17"/>
      <c r="P72" s="17"/>
      <c r="Q72" s="14"/>
      <c r="R72" s="14"/>
      <c r="Z72" s="1">
        <f>IF(A72="", "", VLOOKUP(A72, DanhSachCodeId, 3, FALSE))</f>
      </c>
      <c r="AA72" s="1">
        <f>IF(C72="", "", VLOOKUP(C72, DanhSachChungChi, 2, FALSE))</f>
      </c>
      <c r="AB72" s="1">
        <f>IF(F72="", "", VLOOKUP(F72, DanhSachDonViDaoTao, 2, FALSE))</f>
      </c>
      <c r="AC72" s="1">
        <f>IF(G72="", "", VLOOKUP(G72, DanhSachLevelId, 2, FALSE))</f>
      </c>
      <c r="AD72" s="1">
        <f>IF(H72="", "", VLOOKUP(H72, DanhSachLevelTrain, 2, FALSE))</f>
      </c>
      <c r="AE72" s="1">
        <f>IF(I72="", "", VLOOKUP(I72, DanhSachTrainingMethod, 2, FALSE))</f>
      </c>
    </row>
    <row r="73">
      <c r="A73" s="14"/>
      <c r="B73" s="14">
        <f>IF(A73="", "", VLOOKUP(A73, DanhSachNhanVien, 2, FALSE))</f>
      </c>
      <c r="C73" s="14"/>
      <c r="D73" s="14"/>
      <c r="E73" s="14"/>
      <c r="F73" s="14"/>
      <c r="G73" s="14"/>
      <c r="H73" s="14"/>
      <c r="I73" s="14"/>
      <c r="J73" s="15"/>
      <c r="K73" s="14"/>
      <c r="L73" s="16"/>
      <c r="M73" s="17"/>
      <c r="N73" s="17"/>
      <c r="O73" s="17"/>
      <c r="P73" s="17"/>
      <c r="Q73" s="14"/>
      <c r="R73" s="14"/>
      <c r="Z73" s="1">
        <f>IF(A73="", "", VLOOKUP(A73, DanhSachCodeId, 3, FALSE))</f>
      </c>
      <c r="AA73" s="1">
        <f>IF(C73="", "", VLOOKUP(C73, DanhSachChungChi, 2, FALSE))</f>
      </c>
      <c r="AB73" s="1">
        <f>IF(F73="", "", VLOOKUP(F73, DanhSachDonViDaoTao, 2, FALSE))</f>
      </c>
      <c r="AC73" s="1">
        <f>IF(G73="", "", VLOOKUP(G73, DanhSachLevelId, 2, FALSE))</f>
      </c>
      <c r="AD73" s="1">
        <f>IF(H73="", "", VLOOKUP(H73, DanhSachLevelTrain, 2, FALSE))</f>
      </c>
      <c r="AE73" s="1">
        <f>IF(I73="", "", VLOOKUP(I73, DanhSachTrainingMethod, 2, FALSE))</f>
      </c>
    </row>
    <row r="74">
      <c r="A74" s="14"/>
      <c r="B74" s="14">
        <f>IF(A74="", "", VLOOKUP(A74, DanhSachNhanVien, 2, FALSE))</f>
      </c>
      <c r="C74" s="14"/>
      <c r="D74" s="14"/>
      <c r="E74" s="14"/>
      <c r="F74" s="14"/>
      <c r="G74" s="14"/>
      <c r="H74" s="14"/>
      <c r="I74" s="14"/>
      <c r="J74" s="15"/>
      <c r="K74" s="14"/>
      <c r="L74" s="16"/>
      <c r="M74" s="17"/>
      <c r="N74" s="17"/>
      <c r="O74" s="17"/>
      <c r="P74" s="17"/>
      <c r="Q74" s="14"/>
      <c r="R74" s="14"/>
      <c r="Z74" s="1">
        <f>IF(A74="", "", VLOOKUP(A74, DanhSachCodeId, 3, FALSE))</f>
      </c>
      <c r="AA74" s="1">
        <f>IF(C74="", "", VLOOKUP(C74, DanhSachChungChi, 2, FALSE))</f>
      </c>
      <c r="AB74" s="1">
        <f>IF(F74="", "", VLOOKUP(F74, DanhSachDonViDaoTao, 2, FALSE))</f>
      </c>
      <c r="AC74" s="1">
        <f>IF(G74="", "", VLOOKUP(G74, DanhSachLevelId, 2, FALSE))</f>
      </c>
      <c r="AD74" s="1">
        <f>IF(H74="", "", VLOOKUP(H74, DanhSachLevelTrain, 2, FALSE))</f>
      </c>
      <c r="AE74" s="1">
        <f>IF(I74="", "", VLOOKUP(I74, DanhSachTrainingMethod, 2, FALSE))</f>
      </c>
    </row>
    <row r="75">
      <c r="A75" s="14"/>
      <c r="B75" s="14">
        <f>IF(A75="", "", VLOOKUP(A75, DanhSachNhanVien, 2, FALSE))</f>
      </c>
      <c r="C75" s="14"/>
      <c r="D75" s="14"/>
      <c r="E75" s="14"/>
      <c r="F75" s="14"/>
      <c r="G75" s="14"/>
      <c r="H75" s="14"/>
      <c r="I75" s="14"/>
      <c r="J75" s="15"/>
      <c r="K75" s="14"/>
      <c r="L75" s="16"/>
      <c r="M75" s="17"/>
      <c r="N75" s="17"/>
      <c r="O75" s="17"/>
      <c r="P75" s="17"/>
      <c r="Q75" s="14"/>
      <c r="R75" s="14"/>
      <c r="Z75" s="1">
        <f>IF(A75="", "", VLOOKUP(A75, DanhSachCodeId, 3, FALSE))</f>
      </c>
      <c r="AA75" s="1">
        <f>IF(C75="", "", VLOOKUP(C75, DanhSachChungChi, 2, FALSE))</f>
      </c>
      <c r="AB75" s="1">
        <f>IF(F75="", "", VLOOKUP(F75, DanhSachDonViDaoTao, 2, FALSE))</f>
      </c>
      <c r="AC75" s="1">
        <f>IF(G75="", "", VLOOKUP(G75, DanhSachLevelId, 2, FALSE))</f>
      </c>
      <c r="AD75" s="1">
        <f>IF(H75="", "", VLOOKUP(H75, DanhSachLevelTrain, 2, FALSE))</f>
      </c>
      <c r="AE75" s="1">
        <f>IF(I75="", "", VLOOKUP(I75, DanhSachTrainingMethod, 2, FALSE))</f>
      </c>
    </row>
    <row r="76">
      <c r="A76" s="14"/>
      <c r="B76" s="14">
        <f>IF(A76="", "", VLOOKUP(A76, DanhSachNhanVien, 2, FALSE))</f>
      </c>
      <c r="C76" s="14"/>
      <c r="D76" s="14"/>
      <c r="E76" s="14"/>
      <c r="F76" s="14"/>
      <c r="G76" s="14"/>
      <c r="H76" s="14"/>
      <c r="I76" s="14"/>
      <c r="J76" s="15"/>
      <c r="K76" s="14"/>
      <c r="L76" s="16"/>
      <c r="M76" s="17"/>
      <c r="N76" s="17"/>
      <c r="O76" s="17"/>
      <c r="P76" s="17"/>
      <c r="Q76" s="14"/>
      <c r="R76" s="14"/>
      <c r="Z76" s="1">
        <f>IF(A76="", "", VLOOKUP(A76, DanhSachCodeId, 3, FALSE))</f>
      </c>
      <c r="AA76" s="1">
        <f>IF(C76="", "", VLOOKUP(C76, DanhSachChungChi, 2, FALSE))</f>
      </c>
      <c r="AB76" s="1">
        <f>IF(F76="", "", VLOOKUP(F76, DanhSachDonViDaoTao, 2, FALSE))</f>
      </c>
      <c r="AC76" s="1">
        <f>IF(G76="", "", VLOOKUP(G76, DanhSachLevelId, 2, FALSE))</f>
      </c>
      <c r="AD76" s="1">
        <f>IF(H76="", "", VLOOKUP(H76, DanhSachLevelTrain, 2, FALSE))</f>
      </c>
      <c r="AE76" s="1">
        <f>IF(I76="", "", VLOOKUP(I76, DanhSachTrainingMethod, 2, FALSE))</f>
      </c>
    </row>
    <row r="77">
      <c r="A77" s="14"/>
      <c r="B77" s="14">
        <f>IF(A77="", "", VLOOKUP(A77, DanhSachNhanVien, 2, FALSE))</f>
      </c>
      <c r="C77" s="14"/>
      <c r="D77" s="14"/>
      <c r="E77" s="14"/>
      <c r="F77" s="14"/>
      <c r="G77" s="14"/>
      <c r="H77" s="14"/>
      <c r="I77" s="14"/>
      <c r="J77" s="15"/>
      <c r="K77" s="14"/>
      <c r="L77" s="16"/>
      <c r="M77" s="17"/>
      <c r="N77" s="17"/>
      <c r="O77" s="17"/>
      <c r="P77" s="17"/>
      <c r="Q77" s="14"/>
      <c r="R77" s="14"/>
      <c r="Z77" s="1">
        <f>IF(A77="", "", VLOOKUP(A77, DanhSachCodeId, 3, FALSE))</f>
      </c>
      <c r="AA77" s="1">
        <f>IF(C77="", "", VLOOKUP(C77, DanhSachChungChi, 2, FALSE))</f>
      </c>
      <c r="AB77" s="1">
        <f>IF(F77="", "", VLOOKUP(F77, DanhSachDonViDaoTao, 2, FALSE))</f>
      </c>
      <c r="AC77" s="1">
        <f>IF(G77="", "", VLOOKUP(G77, DanhSachLevelId, 2, FALSE))</f>
      </c>
      <c r="AD77" s="1">
        <f>IF(H77="", "", VLOOKUP(H77, DanhSachLevelTrain, 2, FALSE))</f>
      </c>
      <c r="AE77" s="1">
        <f>IF(I77="", "", VLOOKUP(I77, DanhSachTrainingMethod, 2, FALSE))</f>
      </c>
    </row>
    <row r="78">
      <c r="A78" s="14"/>
      <c r="B78" s="14">
        <f>IF(A78="", "", VLOOKUP(A78, DanhSachNhanVien, 2, FALSE))</f>
      </c>
      <c r="C78" s="14"/>
      <c r="D78" s="14"/>
      <c r="E78" s="14"/>
      <c r="F78" s="14"/>
      <c r="G78" s="14"/>
      <c r="H78" s="14"/>
      <c r="I78" s="14"/>
      <c r="J78" s="15"/>
      <c r="K78" s="14"/>
      <c r="L78" s="16"/>
      <c r="M78" s="17"/>
      <c r="N78" s="17"/>
      <c r="O78" s="17"/>
      <c r="P78" s="17"/>
      <c r="Q78" s="14"/>
      <c r="R78" s="14"/>
      <c r="Z78" s="1">
        <f>IF(A78="", "", VLOOKUP(A78, DanhSachCodeId, 3, FALSE))</f>
      </c>
      <c r="AA78" s="1">
        <f>IF(C78="", "", VLOOKUP(C78, DanhSachChungChi, 2, FALSE))</f>
      </c>
      <c r="AB78" s="1">
        <f>IF(F78="", "", VLOOKUP(F78, DanhSachDonViDaoTao, 2, FALSE))</f>
      </c>
      <c r="AC78" s="1">
        <f>IF(G78="", "", VLOOKUP(G78, DanhSachLevelId, 2, FALSE))</f>
      </c>
      <c r="AD78" s="1">
        <f>IF(H78="", "", VLOOKUP(H78, DanhSachLevelTrain, 2, FALSE))</f>
      </c>
      <c r="AE78" s="1">
        <f>IF(I78="", "", VLOOKUP(I78, DanhSachTrainingMethod, 2, FALSE))</f>
      </c>
    </row>
    <row r="79">
      <c r="A79" s="14"/>
      <c r="B79" s="14">
        <f>IF(A79="", "", VLOOKUP(A79, DanhSachNhanVien, 2, FALSE))</f>
      </c>
      <c r="C79" s="14"/>
      <c r="D79" s="14"/>
      <c r="E79" s="14"/>
      <c r="F79" s="14"/>
      <c r="G79" s="14"/>
      <c r="H79" s="14"/>
      <c r="I79" s="14"/>
      <c r="J79" s="15"/>
      <c r="K79" s="14"/>
      <c r="L79" s="16"/>
      <c r="M79" s="17"/>
      <c r="N79" s="17"/>
      <c r="O79" s="17"/>
      <c r="P79" s="17"/>
      <c r="Q79" s="14"/>
      <c r="R79" s="14"/>
      <c r="Z79" s="1">
        <f>IF(A79="", "", VLOOKUP(A79, DanhSachCodeId, 3, FALSE))</f>
      </c>
      <c r="AA79" s="1">
        <f>IF(C79="", "", VLOOKUP(C79, DanhSachChungChi, 2, FALSE))</f>
      </c>
      <c r="AB79" s="1">
        <f>IF(F79="", "", VLOOKUP(F79, DanhSachDonViDaoTao, 2, FALSE))</f>
      </c>
      <c r="AC79" s="1">
        <f>IF(G79="", "", VLOOKUP(G79, DanhSachLevelId, 2, FALSE))</f>
      </c>
      <c r="AD79" s="1">
        <f>IF(H79="", "", VLOOKUP(H79, DanhSachLevelTrain, 2, FALSE))</f>
      </c>
      <c r="AE79" s="1">
        <f>IF(I79="", "", VLOOKUP(I79, DanhSachTrainingMethod, 2, FALSE))</f>
      </c>
    </row>
    <row r="80">
      <c r="A80" s="14"/>
      <c r="B80" s="14">
        <f>IF(A80="", "", VLOOKUP(A80, DanhSachNhanVien, 2, FALSE))</f>
      </c>
      <c r="C80" s="14"/>
      <c r="D80" s="14"/>
      <c r="E80" s="14"/>
      <c r="F80" s="14"/>
      <c r="G80" s="14"/>
      <c r="H80" s="14"/>
      <c r="I80" s="14"/>
      <c r="J80" s="15"/>
      <c r="K80" s="14"/>
      <c r="L80" s="16"/>
      <c r="M80" s="17"/>
      <c r="N80" s="17"/>
      <c r="O80" s="17"/>
      <c r="P80" s="17"/>
      <c r="Q80" s="14"/>
      <c r="R80" s="14"/>
      <c r="Z80" s="1">
        <f>IF(A80="", "", VLOOKUP(A80, DanhSachCodeId, 3, FALSE))</f>
      </c>
      <c r="AA80" s="1">
        <f>IF(C80="", "", VLOOKUP(C80, DanhSachChungChi, 2, FALSE))</f>
      </c>
      <c r="AB80" s="1">
        <f>IF(F80="", "", VLOOKUP(F80, DanhSachDonViDaoTao, 2, FALSE))</f>
      </c>
      <c r="AC80" s="1">
        <f>IF(G80="", "", VLOOKUP(G80, DanhSachLevelId, 2, FALSE))</f>
      </c>
      <c r="AD80" s="1">
        <f>IF(H80="", "", VLOOKUP(H80, DanhSachLevelTrain, 2, FALSE))</f>
      </c>
      <c r="AE80" s="1">
        <f>IF(I80="", "", VLOOKUP(I80, DanhSachTrainingMethod, 2, FALSE))</f>
      </c>
    </row>
    <row r="81">
      <c r="A81" s="14"/>
      <c r="B81" s="14">
        <f>IF(A81="", "", VLOOKUP(A81, DanhSachNhanVien, 2, FALSE))</f>
      </c>
      <c r="C81" s="14"/>
      <c r="D81" s="14"/>
      <c r="E81" s="14"/>
      <c r="F81" s="14"/>
      <c r="G81" s="14"/>
      <c r="H81" s="14"/>
      <c r="I81" s="14"/>
      <c r="J81" s="15"/>
      <c r="K81" s="14"/>
      <c r="L81" s="16"/>
      <c r="M81" s="17"/>
      <c r="N81" s="17"/>
      <c r="O81" s="17"/>
      <c r="P81" s="17"/>
      <c r="Q81" s="14"/>
      <c r="R81" s="14"/>
      <c r="Z81" s="1">
        <f>IF(A81="", "", VLOOKUP(A81, DanhSachCodeId, 3, FALSE))</f>
      </c>
      <c r="AA81" s="1">
        <f>IF(C81="", "", VLOOKUP(C81, DanhSachChungChi, 2, FALSE))</f>
      </c>
      <c r="AB81" s="1">
        <f>IF(F81="", "", VLOOKUP(F81, DanhSachDonViDaoTao, 2, FALSE))</f>
      </c>
      <c r="AC81" s="1">
        <f>IF(G81="", "", VLOOKUP(G81, DanhSachLevelId, 2, FALSE))</f>
      </c>
      <c r="AD81" s="1">
        <f>IF(H81="", "", VLOOKUP(H81, DanhSachLevelTrain, 2, FALSE))</f>
      </c>
      <c r="AE81" s="1">
        <f>IF(I81="", "", VLOOKUP(I81, DanhSachTrainingMethod, 2, FALSE))</f>
      </c>
    </row>
    <row r="82">
      <c r="A82" s="14"/>
      <c r="B82" s="14">
        <f>IF(A82="", "", VLOOKUP(A82, DanhSachNhanVien, 2, FALSE))</f>
      </c>
      <c r="C82" s="14"/>
      <c r="D82" s="14"/>
      <c r="E82" s="14"/>
      <c r="F82" s="14"/>
      <c r="G82" s="14"/>
      <c r="H82" s="14"/>
      <c r="I82" s="14"/>
      <c r="J82" s="15"/>
      <c r="K82" s="14"/>
      <c r="L82" s="16"/>
      <c r="M82" s="17"/>
      <c r="N82" s="17"/>
      <c r="O82" s="17"/>
      <c r="P82" s="17"/>
      <c r="Q82" s="14"/>
      <c r="R82" s="14"/>
      <c r="Z82" s="1">
        <f>IF(A82="", "", VLOOKUP(A82, DanhSachCodeId, 3, FALSE))</f>
      </c>
      <c r="AA82" s="1">
        <f>IF(C82="", "", VLOOKUP(C82, DanhSachChungChi, 2, FALSE))</f>
      </c>
      <c r="AB82" s="1">
        <f>IF(F82="", "", VLOOKUP(F82, DanhSachDonViDaoTao, 2, FALSE))</f>
      </c>
      <c r="AC82" s="1">
        <f>IF(G82="", "", VLOOKUP(G82, DanhSachLevelId, 2, FALSE))</f>
      </c>
      <c r="AD82" s="1">
        <f>IF(H82="", "", VLOOKUP(H82, DanhSachLevelTrain, 2, FALSE))</f>
      </c>
      <c r="AE82" s="1">
        <f>IF(I82="", "", VLOOKUP(I82, DanhSachTrainingMethod, 2, FALSE))</f>
      </c>
    </row>
    <row r="83">
      <c r="A83" s="14"/>
      <c r="B83" s="14">
        <f>IF(A83="", "", VLOOKUP(A83, DanhSachNhanVien, 2, FALSE))</f>
      </c>
      <c r="C83" s="14"/>
      <c r="D83" s="14"/>
      <c r="E83" s="14"/>
      <c r="F83" s="14"/>
      <c r="G83" s="14"/>
      <c r="H83" s="14"/>
      <c r="I83" s="14"/>
      <c r="J83" s="15"/>
      <c r="K83" s="14"/>
      <c r="L83" s="16"/>
      <c r="M83" s="17"/>
      <c r="N83" s="17"/>
      <c r="O83" s="17"/>
      <c r="P83" s="17"/>
      <c r="Q83" s="14"/>
      <c r="R83" s="14"/>
      <c r="Z83" s="1">
        <f>IF(A83="", "", VLOOKUP(A83, DanhSachCodeId, 3, FALSE))</f>
      </c>
      <c r="AA83" s="1">
        <f>IF(C83="", "", VLOOKUP(C83, DanhSachChungChi, 2, FALSE))</f>
      </c>
      <c r="AB83" s="1">
        <f>IF(F83="", "", VLOOKUP(F83, DanhSachDonViDaoTao, 2, FALSE))</f>
      </c>
      <c r="AC83" s="1">
        <f>IF(G83="", "", VLOOKUP(G83, DanhSachLevelId, 2, FALSE))</f>
      </c>
      <c r="AD83" s="1">
        <f>IF(H83="", "", VLOOKUP(H83, DanhSachLevelTrain, 2, FALSE))</f>
      </c>
      <c r="AE83" s="1">
        <f>IF(I83="", "", VLOOKUP(I83, DanhSachTrainingMethod, 2, FALSE))</f>
      </c>
    </row>
    <row r="84">
      <c r="A84" s="14"/>
      <c r="B84" s="14">
        <f>IF(A84="", "", VLOOKUP(A84, DanhSachNhanVien, 2, FALSE))</f>
      </c>
      <c r="C84" s="14"/>
      <c r="D84" s="14"/>
      <c r="E84" s="14"/>
      <c r="F84" s="14"/>
      <c r="G84" s="14"/>
      <c r="H84" s="14"/>
      <c r="I84" s="14"/>
      <c r="J84" s="15"/>
      <c r="K84" s="14"/>
      <c r="L84" s="16"/>
      <c r="M84" s="17"/>
      <c r="N84" s="17"/>
      <c r="O84" s="17"/>
      <c r="P84" s="17"/>
      <c r="Q84" s="14"/>
      <c r="R84" s="14"/>
      <c r="Z84" s="1">
        <f>IF(A84="", "", VLOOKUP(A84, DanhSachCodeId, 3, FALSE))</f>
      </c>
      <c r="AA84" s="1">
        <f>IF(C84="", "", VLOOKUP(C84, DanhSachChungChi, 2, FALSE))</f>
      </c>
      <c r="AB84" s="1">
        <f>IF(F84="", "", VLOOKUP(F84, DanhSachDonViDaoTao, 2, FALSE))</f>
      </c>
      <c r="AC84" s="1">
        <f>IF(G84="", "", VLOOKUP(G84, DanhSachLevelId, 2, FALSE))</f>
      </c>
      <c r="AD84" s="1">
        <f>IF(H84="", "", VLOOKUP(H84, DanhSachLevelTrain, 2, FALSE))</f>
      </c>
      <c r="AE84" s="1">
        <f>IF(I84="", "", VLOOKUP(I84, DanhSachTrainingMethod, 2, FALSE))</f>
      </c>
    </row>
    <row r="85">
      <c r="A85" s="14"/>
      <c r="B85" s="14">
        <f>IF(A85="", "", VLOOKUP(A85, DanhSachNhanVien, 2, FALSE))</f>
      </c>
      <c r="C85" s="14"/>
      <c r="D85" s="14"/>
      <c r="E85" s="14"/>
      <c r="F85" s="14"/>
      <c r="G85" s="14"/>
      <c r="H85" s="14"/>
      <c r="I85" s="14"/>
      <c r="J85" s="15"/>
      <c r="K85" s="14"/>
      <c r="L85" s="16"/>
      <c r="M85" s="17"/>
      <c r="N85" s="17"/>
      <c r="O85" s="17"/>
      <c r="P85" s="17"/>
      <c r="Q85" s="14"/>
      <c r="R85" s="14"/>
      <c r="Z85" s="1">
        <f>IF(A85="", "", VLOOKUP(A85, DanhSachCodeId, 3, FALSE))</f>
      </c>
      <c r="AA85" s="1">
        <f>IF(C85="", "", VLOOKUP(C85, DanhSachChungChi, 2, FALSE))</f>
      </c>
      <c r="AB85" s="1">
        <f>IF(F85="", "", VLOOKUP(F85, DanhSachDonViDaoTao, 2, FALSE))</f>
      </c>
      <c r="AC85" s="1">
        <f>IF(G85="", "", VLOOKUP(G85, DanhSachLevelId, 2, FALSE))</f>
      </c>
      <c r="AD85" s="1">
        <f>IF(H85="", "", VLOOKUP(H85, DanhSachLevelTrain, 2, FALSE))</f>
      </c>
      <c r="AE85" s="1">
        <f>IF(I85="", "", VLOOKUP(I85, DanhSachTrainingMethod, 2, FALSE))</f>
      </c>
    </row>
    <row r="86">
      <c r="A86" s="14"/>
      <c r="B86" s="14">
        <f>IF(A86="", "", VLOOKUP(A86, DanhSachNhanVien, 2, FALSE))</f>
      </c>
      <c r="C86" s="14"/>
      <c r="D86" s="14"/>
      <c r="E86" s="14"/>
      <c r="F86" s="14"/>
      <c r="G86" s="14"/>
      <c r="H86" s="14"/>
      <c r="I86" s="14"/>
      <c r="J86" s="15"/>
      <c r="K86" s="14"/>
      <c r="L86" s="16"/>
      <c r="M86" s="17"/>
      <c r="N86" s="17"/>
      <c r="O86" s="17"/>
      <c r="P86" s="17"/>
      <c r="Q86" s="14"/>
      <c r="R86" s="14"/>
      <c r="Z86" s="1">
        <f>IF(A86="", "", VLOOKUP(A86, DanhSachCodeId, 3, FALSE))</f>
      </c>
      <c r="AA86" s="1">
        <f>IF(C86="", "", VLOOKUP(C86, DanhSachChungChi, 2, FALSE))</f>
      </c>
      <c r="AB86" s="1">
        <f>IF(F86="", "", VLOOKUP(F86, DanhSachDonViDaoTao, 2, FALSE))</f>
      </c>
      <c r="AC86" s="1">
        <f>IF(G86="", "", VLOOKUP(G86, DanhSachLevelId, 2, FALSE))</f>
      </c>
      <c r="AD86" s="1">
        <f>IF(H86="", "", VLOOKUP(H86, DanhSachLevelTrain, 2, FALSE))</f>
      </c>
      <c r="AE86" s="1">
        <f>IF(I86="", "", VLOOKUP(I86, DanhSachTrainingMethod, 2, FALSE))</f>
      </c>
    </row>
    <row r="87">
      <c r="A87" s="14"/>
      <c r="B87" s="14">
        <f>IF(A87="", "", VLOOKUP(A87, DanhSachNhanVien, 2, FALSE))</f>
      </c>
      <c r="C87" s="14"/>
      <c r="D87" s="14"/>
      <c r="E87" s="14"/>
      <c r="F87" s="14"/>
      <c r="G87" s="14"/>
      <c r="H87" s="14"/>
      <c r="I87" s="14"/>
      <c r="J87" s="15"/>
      <c r="K87" s="14"/>
      <c r="L87" s="16"/>
      <c r="M87" s="17"/>
      <c r="N87" s="17"/>
      <c r="O87" s="17"/>
      <c r="P87" s="17"/>
      <c r="Q87" s="14"/>
      <c r="R87" s="14"/>
      <c r="Z87" s="1">
        <f>IF(A87="", "", VLOOKUP(A87, DanhSachCodeId, 3, FALSE))</f>
      </c>
      <c r="AA87" s="1">
        <f>IF(C87="", "", VLOOKUP(C87, DanhSachChungChi, 2, FALSE))</f>
      </c>
      <c r="AB87" s="1">
        <f>IF(F87="", "", VLOOKUP(F87, DanhSachDonViDaoTao, 2, FALSE))</f>
      </c>
      <c r="AC87" s="1">
        <f>IF(G87="", "", VLOOKUP(G87, DanhSachLevelId, 2, FALSE))</f>
      </c>
      <c r="AD87" s="1">
        <f>IF(H87="", "", VLOOKUP(H87, DanhSachLevelTrain, 2, FALSE))</f>
      </c>
      <c r="AE87" s="1">
        <f>IF(I87="", "", VLOOKUP(I87, DanhSachTrainingMethod, 2, FALSE))</f>
      </c>
    </row>
    <row r="88">
      <c r="A88" s="14"/>
      <c r="B88" s="14">
        <f>IF(A88="", "", VLOOKUP(A88, DanhSachNhanVien, 2, FALSE))</f>
      </c>
      <c r="C88" s="14"/>
      <c r="D88" s="14"/>
      <c r="E88" s="14"/>
      <c r="F88" s="14"/>
      <c r="G88" s="14"/>
      <c r="H88" s="14"/>
      <c r="I88" s="14"/>
      <c r="J88" s="15"/>
      <c r="K88" s="14"/>
      <c r="L88" s="16"/>
      <c r="M88" s="17"/>
      <c r="N88" s="17"/>
      <c r="O88" s="17"/>
      <c r="P88" s="17"/>
      <c r="Q88" s="14"/>
      <c r="R88" s="14"/>
      <c r="Z88" s="1">
        <f>IF(A88="", "", VLOOKUP(A88, DanhSachCodeId, 3, FALSE))</f>
      </c>
      <c r="AA88" s="1">
        <f>IF(C88="", "", VLOOKUP(C88, DanhSachChungChi, 2, FALSE))</f>
      </c>
      <c r="AB88" s="1">
        <f>IF(F88="", "", VLOOKUP(F88, DanhSachDonViDaoTao, 2, FALSE))</f>
      </c>
      <c r="AC88" s="1">
        <f>IF(G88="", "", VLOOKUP(G88, DanhSachLevelId, 2, FALSE))</f>
      </c>
      <c r="AD88" s="1">
        <f>IF(H88="", "", VLOOKUP(H88, DanhSachLevelTrain, 2, FALSE))</f>
      </c>
      <c r="AE88" s="1">
        <f>IF(I88="", "", VLOOKUP(I88, DanhSachTrainingMethod, 2, FALSE))</f>
      </c>
    </row>
    <row r="89">
      <c r="A89" s="14"/>
      <c r="B89" s="14">
        <f>IF(A89="", "", VLOOKUP(A89, DanhSachNhanVien, 2, FALSE))</f>
      </c>
      <c r="C89" s="14"/>
      <c r="D89" s="14"/>
      <c r="E89" s="14"/>
      <c r="F89" s="14"/>
      <c r="G89" s="14"/>
      <c r="H89" s="14"/>
      <c r="I89" s="14"/>
      <c r="J89" s="15"/>
      <c r="K89" s="14"/>
      <c r="L89" s="16"/>
      <c r="M89" s="17"/>
      <c r="N89" s="17"/>
      <c r="O89" s="17"/>
      <c r="P89" s="17"/>
      <c r="Q89" s="14"/>
      <c r="R89" s="14"/>
      <c r="Z89" s="1">
        <f>IF(A89="", "", VLOOKUP(A89, DanhSachCodeId, 3, FALSE))</f>
      </c>
      <c r="AA89" s="1">
        <f>IF(C89="", "", VLOOKUP(C89, DanhSachChungChi, 2, FALSE))</f>
      </c>
      <c r="AB89" s="1">
        <f>IF(F89="", "", VLOOKUP(F89, DanhSachDonViDaoTao, 2, FALSE))</f>
      </c>
      <c r="AC89" s="1">
        <f>IF(G89="", "", VLOOKUP(G89, DanhSachLevelId, 2, FALSE))</f>
      </c>
      <c r="AD89" s="1">
        <f>IF(H89="", "", VLOOKUP(H89, DanhSachLevelTrain, 2, FALSE))</f>
      </c>
      <c r="AE89" s="1">
        <f>IF(I89="", "", VLOOKUP(I89, DanhSachTrainingMethod, 2, FALSE))</f>
      </c>
    </row>
    <row r="90">
      <c r="A90" s="14"/>
      <c r="B90" s="14">
        <f>IF(A90="", "", VLOOKUP(A90, DanhSachNhanVien, 2, FALSE))</f>
      </c>
      <c r="C90" s="14"/>
      <c r="D90" s="14"/>
      <c r="E90" s="14"/>
      <c r="F90" s="14"/>
      <c r="G90" s="14"/>
      <c r="H90" s="14"/>
      <c r="I90" s="14"/>
      <c r="J90" s="15"/>
      <c r="K90" s="14"/>
      <c r="L90" s="16"/>
      <c r="M90" s="17"/>
      <c r="N90" s="17"/>
      <c r="O90" s="17"/>
      <c r="P90" s="17"/>
      <c r="Q90" s="14"/>
      <c r="R90" s="14"/>
      <c r="Z90" s="1">
        <f>IF(A90="", "", VLOOKUP(A90, DanhSachCodeId, 3, FALSE))</f>
      </c>
      <c r="AA90" s="1">
        <f>IF(C90="", "", VLOOKUP(C90, DanhSachChungChi, 2, FALSE))</f>
      </c>
      <c r="AB90" s="1">
        <f>IF(F90="", "", VLOOKUP(F90, DanhSachDonViDaoTao, 2, FALSE))</f>
      </c>
      <c r="AC90" s="1">
        <f>IF(G90="", "", VLOOKUP(G90, DanhSachLevelId, 2, FALSE))</f>
      </c>
      <c r="AD90" s="1">
        <f>IF(H90="", "", VLOOKUP(H90, DanhSachLevelTrain, 2, FALSE))</f>
      </c>
      <c r="AE90" s="1">
        <f>IF(I90="", "", VLOOKUP(I90, DanhSachTrainingMethod, 2, FALSE))</f>
      </c>
    </row>
    <row r="91">
      <c r="A91" s="14"/>
      <c r="B91" s="14">
        <f>IF(A91="", "", VLOOKUP(A91, DanhSachNhanVien, 2, FALSE))</f>
      </c>
      <c r="C91" s="14"/>
      <c r="D91" s="14"/>
      <c r="E91" s="14"/>
      <c r="F91" s="14"/>
      <c r="G91" s="14"/>
      <c r="H91" s="14"/>
      <c r="I91" s="14"/>
      <c r="J91" s="15"/>
      <c r="K91" s="14"/>
      <c r="L91" s="16"/>
      <c r="M91" s="17"/>
      <c r="N91" s="17"/>
      <c r="O91" s="17"/>
      <c r="P91" s="17"/>
      <c r="Q91" s="14"/>
      <c r="R91" s="14"/>
      <c r="Z91" s="1">
        <f>IF(A91="", "", VLOOKUP(A91, DanhSachCodeId, 3, FALSE))</f>
      </c>
      <c r="AA91" s="1">
        <f>IF(C91="", "", VLOOKUP(C91, DanhSachChungChi, 2, FALSE))</f>
      </c>
      <c r="AB91" s="1">
        <f>IF(F91="", "", VLOOKUP(F91, DanhSachDonViDaoTao, 2, FALSE))</f>
      </c>
      <c r="AC91" s="1">
        <f>IF(G91="", "", VLOOKUP(G91, DanhSachLevelId, 2, FALSE))</f>
      </c>
      <c r="AD91" s="1">
        <f>IF(H91="", "", VLOOKUP(H91, DanhSachLevelTrain, 2, FALSE))</f>
      </c>
      <c r="AE91" s="1">
        <f>IF(I91="", "", VLOOKUP(I91, DanhSachTrainingMethod, 2, FALSE))</f>
      </c>
    </row>
    <row r="92">
      <c r="A92" s="14"/>
      <c r="B92" s="14">
        <f>IF(A92="", "", VLOOKUP(A92, DanhSachNhanVien, 2, FALSE))</f>
      </c>
      <c r="C92" s="14"/>
      <c r="D92" s="14"/>
      <c r="E92" s="14"/>
      <c r="F92" s="14"/>
      <c r="G92" s="14"/>
      <c r="H92" s="14"/>
      <c r="I92" s="14"/>
      <c r="J92" s="15"/>
      <c r="K92" s="14"/>
      <c r="L92" s="16"/>
      <c r="M92" s="17"/>
      <c r="N92" s="17"/>
      <c r="O92" s="17"/>
      <c r="P92" s="17"/>
      <c r="Q92" s="14"/>
      <c r="R92" s="14"/>
      <c r="Z92" s="1">
        <f>IF(A92="", "", VLOOKUP(A92, DanhSachCodeId, 3, FALSE))</f>
      </c>
      <c r="AA92" s="1">
        <f>IF(C92="", "", VLOOKUP(C92, DanhSachChungChi, 2, FALSE))</f>
      </c>
      <c r="AB92" s="1">
        <f>IF(F92="", "", VLOOKUP(F92, DanhSachDonViDaoTao, 2, FALSE))</f>
      </c>
      <c r="AC92" s="1">
        <f>IF(G92="", "", VLOOKUP(G92, DanhSachLevelId, 2, FALSE))</f>
      </c>
      <c r="AD92" s="1">
        <f>IF(H92="", "", VLOOKUP(H92, DanhSachLevelTrain, 2, FALSE))</f>
      </c>
      <c r="AE92" s="1">
        <f>IF(I92="", "", VLOOKUP(I92, DanhSachTrainingMethod, 2, FALSE))</f>
      </c>
    </row>
    <row r="93">
      <c r="A93" s="14"/>
      <c r="B93" s="14">
        <f>IF(A93="", "", VLOOKUP(A93, DanhSachNhanVien, 2, FALSE))</f>
      </c>
      <c r="C93" s="14"/>
      <c r="D93" s="14"/>
      <c r="E93" s="14"/>
      <c r="F93" s="14"/>
      <c r="G93" s="14"/>
      <c r="H93" s="14"/>
      <c r="I93" s="14"/>
      <c r="J93" s="15"/>
      <c r="K93" s="14"/>
      <c r="L93" s="16"/>
      <c r="M93" s="17"/>
      <c r="N93" s="17"/>
      <c r="O93" s="17"/>
      <c r="P93" s="17"/>
      <c r="Q93" s="14"/>
      <c r="R93" s="14"/>
      <c r="Z93" s="1">
        <f>IF(A93="", "", VLOOKUP(A93, DanhSachCodeId, 3, FALSE))</f>
      </c>
      <c r="AA93" s="1">
        <f>IF(C93="", "", VLOOKUP(C93, DanhSachChungChi, 2, FALSE))</f>
      </c>
      <c r="AB93" s="1">
        <f>IF(F93="", "", VLOOKUP(F93, DanhSachDonViDaoTao, 2, FALSE))</f>
      </c>
      <c r="AC93" s="1">
        <f>IF(G93="", "", VLOOKUP(G93, DanhSachLevelId, 2, FALSE))</f>
      </c>
      <c r="AD93" s="1">
        <f>IF(H93="", "", VLOOKUP(H93, DanhSachLevelTrain, 2, FALSE))</f>
      </c>
      <c r="AE93" s="1">
        <f>IF(I93="", "", VLOOKUP(I93, DanhSachTrainingMethod, 2, FALSE))</f>
      </c>
    </row>
    <row r="94">
      <c r="A94" s="14"/>
      <c r="B94" s="14">
        <f>IF(A94="", "", VLOOKUP(A94, DanhSachNhanVien, 2, FALSE))</f>
      </c>
      <c r="C94" s="14"/>
      <c r="D94" s="14"/>
      <c r="E94" s="14"/>
      <c r="F94" s="14"/>
      <c r="G94" s="14"/>
      <c r="H94" s="14"/>
      <c r="I94" s="14"/>
      <c r="J94" s="15"/>
      <c r="K94" s="14"/>
      <c r="L94" s="16"/>
      <c r="M94" s="17"/>
      <c r="N94" s="17"/>
      <c r="O94" s="17"/>
      <c r="P94" s="17"/>
      <c r="Q94" s="14"/>
      <c r="R94" s="14"/>
      <c r="Z94" s="1">
        <f>IF(A94="", "", VLOOKUP(A94, DanhSachCodeId, 3, FALSE))</f>
      </c>
      <c r="AA94" s="1">
        <f>IF(C94="", "", VLOOKUP(C94, DanhSachChungChi, 2, FALSE))</f>
      </c>
      <c r="AB94" s="1">
        <f>IF(F94="", "", VLOOKUP(F94, DanhSachDonViDaoTao, 2, FALSE))</f>
      </c>
      <c r="AC94" s="1">
        <f>IF(G94="", "", VLOOKUP(G94, DanhSachLevelId, 2, FALSE))</f>
      </c>
      <c r="AD94" s="1">
        <f>IF(H94="", "", VLOOKUP(H94, DanhSachLevelTrain, 2, FALSE))</f>
      </c>
      <c r="AE94" s="1">
        <f>IF(I94="", "", VLOOKUP(I94, DanhSachTrainingMethod, 2, FALSE))</f>
      </c>
    </row>
    <row r="95">
      <c r="A95" s="14"/>
      <c r="B95" s="14">
        <f>IF(A95="", "", VLOOKUP(A95, DanhSachNhanVien, 2, FALSE))</f>
      </c>
      <c r="C95" s="14"/>
      <c r="D95" s="14"/>
      <c r="E95" s="14"/>
      <c r="F95" s="14"/>
      <c r="G95" s="14"/>
      <c r="H95" s="14"/>
      <c r="I95" s="14"/>
      <c r="J95" s="15"/>
      <c r="K95" s="14"/>
      <c r="L95" s="16"/>
      <c r="M95" s="17"/>
      <c r="N95" s="17"/>
      <c r="O95" s="17"/>
      <c r="P95" s="17"/>
      <c r="Q95" s="14"/>
      <c r="R95" s="14"/>
      <c r="Z95" s="1">
        <f>IF(A95="", "", VLOOKUP(A95, DanhSachCodeId, 3, FALSE))</f>
      </c>
      <c r="AA95" s="1">
        <f>IF(C95="", "", VLOOKUP(C95, DanhSachChungChi, 2, FALSE))</f>
      </c>
      <c r="AB95" s="1">
        <f>IF(F95="", "", VLOOKUP(F95, DanhSachDonViDaoTao, 2, FALSE))</f>
      </c>
      <c r="AC95" s="1">
        <f>IF(G95="", "", VLOOKUP(G95, DanhSachLevelId, 2, FALSE))</f>
      </c>
      <c r="AD95" s="1">
        <f>IF(H95="", "", VLOOKUP(H95, DanhSachLevelTrain, 2, FALSE))</f>
      </c>
      <c r="AE95" s="1">
        <f>IF(I95="", "", VLOOKUP(I95, DanhSachTrainingMethod, 2, FALSE))</f>
      </c>
    </row>
    <row r="96">
      <c r="A96" s="14"/>
      <c r="B96" s="14">
        <f>IF(A96="", "", VLOOKUP(A96, DanhSachNhanVien, 2, FALSE))</f>
      </c>
      <c r="C96" s="14"/>
      <c r="D96" s="14"/>
      <c r="E96" s="14"/>
      <c r="F96" s="14"/>
      <c r="G96" s="14"/>
      <c r="H96" s="14"/>
      <c r="I96" s="14"/>
      <c r="J96" s="15"/>
      <c r="K96" s="14"/>
      <c r="L96" s="16"/>
      <c r="M96" s="17"/>
      <c r="N96" s="17"/>
      <c r="O96" s="17"/>
      <c r="P96" s="17"/>
      <c r="Q96" s="14"/>
      <c r="R96" s="14"/>
      <c r="Z96" s="1">
        <f>IF(A96="", "", VLOOKUP(A96, DanhSachCodeId, 3, FALSE))</f>
      </c>
      <c r="AA96" s="1">
        <f>IF(C96="", "", VLOOKUP(C96, DanhSachChungChi, 2, FALSE))</f>
      </c>
      <c r="AB96" s="1">
        <f>IF(F96="", "", VLOOKUP(F96, DanhSachDonViDaoTao, 2, FALSE))</f>
      </c>
      <c r="AC96" s="1">
        <f>IF(G96="", "", VLOOKUP(G96, DanhSachLevelId, 2, FALSE))</f>
      </c>
      <c r="AD96" s="1">
        <f>IF(H96="", "", VLOOKUP(H96, DanhSachLevelTrain, 2, FALSE))</f>
      </c>
      <c r="AE96" s="1">
        <f>IF(I96="", "", VLOOKUP(I96, DanhSachTrainingMethod, 2, FALSE))</f>
      </c>
    </row>
    <row r="97">
      <c r="A97" s="14"/>
      <c r="B97" s="14">
        <f>IF(A97="", "", VLOOKUP(A97, DanhSachNhanVien, 2, FALSE))</f>
      </c>
      <c r="C97" s="14"/>
      <c r="D97" s="14"/>
      <c r="E97" s="14"/>
      <c r="F97" s="14"/>
      <c r="G97" s="14"/>
      <c r="H97" s="14"/>
      <c r="I97" s="14"/>
      <c r="J97" s="15"/>
      <c r="K97" s="14"/>
      <c r="L97" s="16"/>
      <c r="M97" s="17"/>
      <c r="N97" s="17"/>
      <c r="O97" s="17"/>
      <c r="P97" s="17"/>
      <c r="Q97" s="14"/>
      <c r="R97" s="14"/>
      <c r="Z97" s="1">
        <f>IF(A97="", "", VLOOKUP(A97, DanhSachCodeId, 3, FALSE))</f>
      </c>
      <c r="AA97" s="1">
        <f>IF(C97="", "", VLOOKUP(C97, DanhSachChungChi, 2, FALSE))</f>
      </c>
      <c r="AB97" s="1">
        <f>IF(F97="", "", VLOOKUP(F97, DanhSachDonViDaoTao, 2, FALSE))</f>
      </c>
      <c r="AC97" s="1">
        <f>IF(G97="", "", VLOOKUP(G97, DanhSachLevelId, 2, FALSE))</f>
      </c>
      <c r="AD97" s="1">
        <f>IF(H97="", "", VLOOKUP(H97, DanhSachLevelTrain, 2, FALSE))</f>
      </c>
      <c r="AE97" s="1">
        <f>IF(I97="", "", VLOOKUP(I97, DanhSachTrainingMethod, 2, FALSE))</f>
      </c>
    </row>
    <row r="98">
      <c r="A98" s="14"/>
      <c r="B98" s="14">
        <f>IF(A98="", "", VLOOKUP(A98, DanhSachNhanVien, 2, FALSE))</f>
      </c>
      <c r="C98" s="14"/>
      <c r="D98" s="14"/>
      <c r="E98" s="14"/>
      <c r="F98" s="14"/>
      <c r="G98" s="14"/>
      <c r="H98" s="14"/>
      <c r="I98" s="14"/>
      <c r="J98" s="15"/>
      <c r="K98" s="14"/>
      <c r="L98" s="16"/>
      <c r="M98" s="17"/>
      <c r="N98" s="17"/>
      <c r="O98" s="17"/>
      <c r="P98" s="17"/>
      <c r="Q98" s="14"/>
      <c r="R98" s="14"/>
      <c r="Z98" s="1">
        <f>IF(A98="", "", VLOOKUP(A98, DanhSachCodeId, 3, FALSE))</f>
      </c>
      <c r="AA98" s="1">
        <f>IF(C98="", "", VLOOKUP(C98, DanhSachChungChi, 2, FALSE))</f>
      </c>
      <c r="AB98" s="1">
        <f>IF(F98="", "", VLOOKUP(F98, DanhSachDonViDaoTao, 2, FALSE))</f>
      </c>
      <c r="AC98" s="1">
        <f>IF(G98="", "", VLOOKUP(G98, DanhSachLevelId, 2, FALSE))</f>
      </c>
      <c r="AD98" s="1">
        <f>IF(H98="", "", VLOOKUP(H98, DanhSachLevelTrain, 2, FALSE))</f>
      </c>
      <c r="AE98" s="1">
        <f>IF(I98="", "", VLOOKUP(I98, DanhSachTrainingMethod, 2, FALSE))</f>
      </c>
    </row>
    <row r="99">
      <c r="A99" s="14"/>
      <c r="B99" s="14">
        <f>IF(A99="", "", VLOOKUP(A99, DanhSachNhanVien, 2, FALSE))</f>
      </c>
      <c r="C99" s="14"/>
      <c r="D99" s="14"/>
      <c r="E99" s="14"/>
      <c r="F99" s="14"/>
      <c r="G99" s="14"/>
      <c r="H99" s="14"/>
      <c r="I99" s="14"/>
      <c r="J99" s="15"/>
      <c r="K99" s="14"/>
      <c r="L99" s="16"/>
      <c r="M99" s="17"/>
      <c r="N99" s="17"/>
      <c r="O99" s="17"/>
      <c r="P99" s="17"/>
      <c r="Q99" s="14"/>
      <c r="R99" s="14"/>
      <c r="Z99" s="1">
        <f>IF(A99="", "", VLOOKUP(A99, DanhSachCodeId, 3, FALSE))</f>
      </c>
      <c r="AA99" s="1">
        <f>IF(C99="", "", VLOOKUP(C99, DanhSachChungChi, 2, FALSE))</f>
      </c>
      <c r="AB99" s="1">
        <f>IF(F99="", "", VLOOKUP(F99, DanhSachDonViDaoTao, 2, FALSE))</f>
      </c>
      <c r="AC99" s="1">
        <f>IF(G99="", "", VLOOKUP(G99, DanhSachLevelId, 2, FALSE))</f>
      </c>
      <c r="AD99" s="1">
        <f>IF(H99="", "", VLOOKUP(H99, DanhSachLevelTrain, 2, FALSE))</f>
      </c>
      <c r="AE99" s="1">
        <f>IF(I99="", "", VLOOKUP(I99, DanhSachTrainingMethod, 2, FALSE))</f>
      </c>
    </row>
    <row r="100">
      <c r="A100" s="14"/>
      <c r="B100" s="14">
        <f>IF(A100="", "", VLOOKUP(A100, DanhSachNhanVien, 2, FALSE))</f>
      </c>
      <c r="C100" s="14"/>
      <c r="D100" s="14"/>
      <c r="E100" s="14"/>
      <c r="F100" s="14"/>
      <c r="G100" s="14"/>
      <c r="H100" s="14"/>
      <c r="I100" s="14"/>
      <c r="J100" s="15"/>
      <c r="K100" s="14"/>
      <c r="L100" s="16"/>
      <c r="M100" s="17"/>
      <c r="N100" s="17"/>
      <c r="O100" s="17"/>
      <c r="P100" s="17"/>
      <c r="Q100" s="14"/>
      <c r="R100" s="14"/>
      <c r="Z100" s="1">
        <f>IF(A100="", "", VLOOKUP(A100, DanhSachCodeId, 3, FALSE))</f>
      </c>
      <c r="AA100" s="1">
        <f>IF(C100="", "", VLOOKUP(C100, DanhSachChungChi, 2, FALSE))</f>
      </c>
      <c r="AB100" s="1">
        <f>IF(F100="", "", VLOOKUP(F100, DanhSachDonViDaoTao, 2, FALSE))</f>
      </c>
      <c r="AC100" s="1">
        <f>IF(G100="", "", VLOOKUP(G100, DanhSachLevelId, 2, FALSE))</f>
      </c>
      <c r="AD100" s="1">
        <f>IF(H100="", "", VLOOKUP(H100, DanhSachLevelTrain, 2, FALSE))</f>
      </c>
      <c r="AE100" s="1">
        <f>IF(I100="", "", VLOOKUP(I100, DanhSachTrainingMethod, 2, FALSE))</f>
      </c>
    </row>
  </sheetData>
  <mergeCells>
    <mergeCell ref="A1:T2"/>
  </mergeCells>
  <dataValidations count="7"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A6:A100" xr:uid="{280C8EC7-45DE-44D1-B2ED-800C50F31814}">
      <formula1>DanhSachCode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C6:C100" xr:uid="{9D31B485-6ACB-42D8-8AE3-E66F6C578791}">
      <formula1>DanhSachChungChiName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D6:D100" xr:uid="{E52C5E06-56F3-4A73-BF99-5B590EA567C4}">
      <formula1>DanhSachCoKhong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F6:F100" xr:uid="{4B32B321-95A7-4A6D-BC0D-D852F9567361}">
      <formula1>DanhSachDonViDaoTaoName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G6:G100" xr:uid="{DFAD8DC5-BA1D-4210-A568-3201462E186B}">
      <formula1>DanhSachLevelIdName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H6:H100" xr:uid="{EF181E5F-7C80-4352-B7BC-61E4E2E68969}">
      <formula1>DanhSachLevelTrainName</formula1>
    </dataValidation>
    <dataValidation type="list" errorStyle="warning" showInputMessage="1" showErrorMessage="1" errorTitle="Giá trị không hợp lệ" error="Vui lòng chọn giá trị có trong danh sách." promptTitle="💡 Hướng dẫn" prompt="Chọn từ dropdown hoặc paste giá trị hợp lệ." sqref="I6:I100" xr:uid="{5E82D52A-15A5-421A-838C-20A8EA1EBBB3}">
      <formula1>DanhSachTrainingMethodName</formula1>
    </dataValidation>
  </dataValidations>
  <pageMargins left="0.75" right="0.75" top="1" bottom="1" header="0.5" footer="0.5"/>
  <headerFooter/>
</worksheet>
</file>

<file path=xl/worksheets/sheet3.xml><?xml version="1.0" encoding="utf-8"?>
<worksheet xmlns:r="http://schemas.openxmlformats.org/officeDocument/2006/relationships" xmlns="http://schemas.openxmlformats.org/spreadsheetml/2006/main">
  <sheetPr codeName=""/>
  <dimension ref="A1:N3"/>
  <sheetViews>
    <sheetView workbookViewId="0"/>
  </sheetViews>
  <sheetFormatPr defaultRowHeight="15"/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>
      <c r="F2" s="0" t="s">
        <v>14</v>
      </c>
    </row>
    <row r="3">
      <c r="F3" s="0" t="s">
        <v>15</v>
      </c>
    </row>
  </sheetData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tranh</dc:creator>
  <cp:lastModifiedBy>tranh</cp:lastModifiedBy>
  <dcterms:created xsi:type="dcterms:W3CDTF">2026-02-24T17:44:00Z</dcterms:created>
  <dcterms:modified xsi:type="dcterms:W3CDTF">2026-02-24T19:57:24Z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56DAD763998E41C88D76D9FEF2F4A1CC_11</vt:lpwstr>
  </property>
  <property fmtid="{D5CDD505-2E9C-101B-9397-08002B2CF9AE}" pid="3" name="KSOProductBuildVer">
    <vt:lpwstr>2057-12.9.0.21549</vt:lpwstr>
  </property>
</Properties>
</file>